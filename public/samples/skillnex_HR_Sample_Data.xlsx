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 Activity Log" sheetId="1" state="visible" r:id="rId1"/>
    <sheet xmlns:r="http://schemas.openxmlformats.org/officeDocument/2006/relationships" name="Employee Compensation" sheetId="2" state="visible" r:id="rId2"/>
    <sheet xmlns:r="http://schemas.openxmlformats.org/officeDocument/2006/relationships" name="Summary Dashboard" sheetId="3" state="visible" r:id="rId3"/>
  </sheets>
  <definedNames>
    <definedName name="_xlnm._FilterDatabase" localSheetId="0" hidden="1">'HR Activity Log'!$A$1:$M$56</definedName>
    <definedName name="_xlnm._FilterDatabase" localSheetId="1" hidden="1">'Employee Compensation'!$A$1:$T$1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1F3864"/>
      <sz val="14"/>
    </font>
    <font>
      <name val="Arial"/>
      <color rgb="00595959"/>
      <sz val="10"/>
    </font>
    <font>
      <name val="Arial"/>
      <b val="1"/>
      <color rgb="001F3864"/>
      <sz val="10"/>
    </font>
    <font>
      <name val="Arial"/>
      <b val="1"/>
      <color rgb="00FFFFFF"/>
      <sz val="9"/>
    </font>
    <font>
      <name val="Arial"/>
      <color rgb="00595959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DCE1"/>
      </patternFill>
    </fill>
    <fill>
      <patternFill patternType="solid">
        <fgColor rgb="00FFEB9C"/>
      </patternFill>
    </fill>
    <fill>
      <patternFill patternType="solid">
        <fgColor rgb="00DAEEF3"/>
      </patternFill>
    </fill>
    <fill>
      <patternFill patternType="solid">
        <fgColor rgb="00D9E1F2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 wrapText="1"/>
    </xf>
    <xf numFmtId="0" fontId="2" fillId="8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2" fillId="1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164" fontId="2" fillId="3" borderId="0" applyAlignment="1" pivotButton="0" quotePrefix="0" xfId="0">
      <alignment vertical="center"/>
    </xf>
    <xf numFmtId="9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164" fontId="2" fillId="4" borderId="0" applyAlignment="1" pivotButton="0" quotePrefix="0" xfId="0">
      <alignment vertical="center"/>
    </xf>
    <xf numFmtId="9" fontId="2" fillId="4" borderId="0" applyAlignment="1" pivotButton="0" quotePrefix="0" xfId="0">
      <alignment vertical="center"/>
    </xf>
    <xf numFmtId="0" fontId="3" fillId="0" borderId="0" pivotButton="0" quotePrefix="0" xfId="0"/>
    <xf numFmtId="164" fontId="3" fillId="11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2" borderId="0" applyAlignment="1" pivotButton="0" quotePrefix="0" xfId="0">
      <alignment horizontal="center"/>
    </xf>
    <xf numFmtId="0" fontId="2" fillId="4" borderId="0" pivotButton="0" quotePrefix="0" xfId="0"/>
    <xf numFmtId="164" fontId="2" fillId="4" borderId="0" pivotButton="0" quotePrefix="0" xfId="0"/>
    <xf numFmtId="0" fontId="2" fillId="3" borderId="0" pivotButton="0" quotePrefix="0" xfId="0"/>
    <xf numFmtId="164" fontId="2" fillId="3" borderId="0" pivotButton="0" quotePrefix="0" xfId="0"/>
    <xf numFmtId="0" fontId="6" fillId="0" borderId="0" pivotButton="0" quotePrefix="0" xfId="0"/>
    <xf numFmtId="0" fontId="8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26" customWidth="1" min="4" max="4"/>
    <col width="22" customWidth="1" min="5" max="5"/>
    <col width="45" customWidth="1" min="6" max="6"/>
    <col width="13" customWidth="1" min="7" max="7"/>
    <col width="10" customWidth="1" min="8" max="8"/>
    <col width="12" customWidth="1" min="9" max="9"/>
    <col width="8" customWidth="1" min="10" max="10"/>
    <col width="10" customWidth="1" min="11" max="11"/>
    <col width="12" customWidth="1" min="12" max="12"/>
    <col width="35" customWidth="1" min="13" max="13"/>
  </cols>
  <sheetData>
    <row r="1" ht="30" customHeight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Job_Title</t>
        </is>
      </c>
      <c r="E1" s="1" t="inlineStr">
        <is>
          <t>Activity_Type</t>
        </is>
      </c>
      <c r="F1" s="1" t="inlineStr">
        <is>
          <t>Activity_Description</t>
        </is>
      </c>
      <c r="G1" s="1" t="inlineStr">
        <is>
          <t>Activity_Date</t>
        </is>
      </c>
      <c r="H1" s="1" t="inlineStr">
        <is>
          <t>Duration_Hours</t>
        </is>
      </c>
      <c r="I1" s="1" t="inlineStr">
        <is>
          <t>Employees_Impacted</t>
        </is>
      </c>
      <c r="J1" s="1" t="inlineStr">
        <is>
          <t>Cost_Center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Notes</t>
        </is>
      </c>
    </row>
    <row r="2">
      <c r="A2" s="2" t="inlineStr">
        <is>
          <t>HR001</t>
        </is>
      </c>
      <c r="B2" s="2" t="inlineStr">
        <is>
          <t>Jordan Ellis</t>
        </is>
      </c>
      <c r="C2" s="2" t="inlineStr">
        <is>
          <t>Talent Acquisition</t>
        </is>
      </c>
      <c r="D2" s="2" t="inlineStr">
        <is>
          <t>Senior Recruiter</t>
        </is>
      </c>
      <c r="E2" s="2" t="inlineStr">
        <is>
          <t>Recruiting</t>
        </is>
      </c>
      <c r="F2" s="2" t="inlineStr">
        <is>
          <t>Sourced 12 candidates via LinkedIn Recruiter</t>
        </is>
      </c>
      <c r="G2" s="2" t="inlineStr">
        <is>
          <t>2026-03-02</t>
        </is>
      </c>
      <c r="H2" s="2" t="n">
        <v>3</v>
      </c>
      <c r="I2" s="2" t="n">
        <v>0</v>
      </c>
      <c r="J2" s="2" t="inlineStr">
        <is>
          <t>TA</t>
        </is>
      </c>
      <c r="K2" s="3" t="inlineStr">
        <is>
          <t>High</t>
        </is>
      </c>
      <c r="L2" s="4" t="inlineStr">
        <is>
          <t>Completed</t>
        </is>
      </c>
      <c r="M2" s="2" t="inlineStr">
        <is>
          <t>Used Boolean search strings</t>
        </is>
      </c>
    </row>
    <row r="3">
      <c r="A3" s="5" t="inlineStr">
        <is>
          <t>HR001</t>
        </is>
      </c>
      <c r="B3" s="5" t="inlineStr">
        <is>
          <t>Jordan Ellis</t>
        </is>
      </c>
      <c r="C3" s="5" t="inlineStr">
        <is>
          <t>Talent Acquisition</t>
        </is>
      </c>
      <c r="D3" s="5" t="inlineStr">
        <is>
          <t>Senior Recruiter</t>
        </is>
      </c>
      <c r="E3" s="5" t="inlineStr">
        <is>
          <t>Recruiting</t>
        </is>
      </c>
      <c r="F3" s="5" t="inlineStr">
        <is>
          <t>Conducted 4 phone screens for Software Engineer role</t>
        </is>
      </c>
      <c r="G3" s="5" t="inlineStr">
        <is>
          <t>2026-03-03</t>
        </is>
      </c>
      <c r="H3" s="5" t="n">
        <v>4</v>
      </c>
      <c r="I3" s="5" t="n">
        <v>4</v>
      </c>
      <c r="J3" s="5" t="inlineStr">
        <is>
          <t>TA</t>
        </is>
      </c>
      <c r="K3" s="3" t="inlineStr">
        <is>
          <t>High</t>
        </is>
      </c>
      <c r="L3" s="4" t="inlineStr">
        <is>
          <t>Completed</t>
        </is>
      </c>
      <c r="M3" s="5" t="inlineStr">
        <is>
          <t>2 advanced to next round</t>
        </is>
      </c>
    </row>
    <row r="4">
      <c r="A4" s="2" t="inlineStr">
        <is>
          <t>HR001</t>
        </is>
      </c>
      <c r="B4" s="2" t="inlineStr">
        <is>
          <t>Jordan Ellis</t>
        </is>
      </c>
      <c r="C4" s="2" t="inlineStr">
        <is>
          <t>Talent Acquisition</t>
        </is>
      </c>
      <c r="D4" s="2" t="inlineStr">
        <is>
          <t>Senior Recruiter</t>
        </is>
      </c>
      <c r="E4" s="2" t="inlineStr">
        <is>
          <t>Recruiting</t>
        </is>
      </c>
      <c r="F4" s="2" t="inlineStr">
        <is>
          <t>Coordinated 3 panel interviews</t>
        </is>
      </c>
      <c r="G4" s="2" t="inlineStr">
        <is>
          <t>2026-03-05</t>
        </is>
      </c>
      <c r="H4" s="2" t="n">
        <v>3</v>
      </c>
      <c r="I4" s="2" t="n">
        <v>3</v>
      </c>
      <c r="J4" s="2" t="inlineStr">
        <is>
          <t>TA</t>
        </is>
      </c>
      <c r="K4" s="3" t="inlineStr">
        <is>
          <t>High</t>
        </is>
      </c>
      <c r="L4" s="4" t="inlineStr">
        <is>
          <t>Completed</t>
        </is>
      </c>
      <c r="M4" s="2" t="inlineStr">
        <is>
          <t>Debrief session held same day</t>
        </is>
      </c>
    </row>
    <row r="5">
      <c r="A5" s="5" t="inlineStr">
        <is>
          <t>HR001</t>
        </is>
      </c>
      <c r="B5" s="5" t="inlineStr">
        <is>
          <t>Jordan Ellis</t>
        </is>
      </c>
      <c r="C5" s="5" t="inlineStr">
        <is>
          <t>Talent Acquisition</t>
        </is>
      </c>
      <c r="D5" s="5" t="inlineStr">
        <is>
          <t>Senior Recruiter</t>
        </is>
      </c>
      <c r="E5" s="5" t="inlineStr">
        <is>
          <t>Offer Management</t>
        </is>
      </c>
      <c r="F5" s="5" t="inlineStr">
        <is>
          <t>Extended 2 job offers and negotiated compensation</t>
        </is>
      </c>
      <c r="G5" s="5" t="inlineStr">
        <is>
          <t>2026-03-08</t>
        </is>
      </c>
      <c r="H5" s="5" t="n">
        <v>2</v>
      </c>
      <c r="I5" s="5" t="n">
        <v>2</v>
      </c>
      <c r="J5" s="5" t="inlineStr">
        <is>
          <t>TA</t>
        </is>
      </c>
      <c r="K5" s="3" t="inlineStr">
        <is>
          <t>High</t>
        </is>
      </c>
      <c r="L5" s="4" t="inlineStr">
        <is>
          <t>Completed</t>
        </is>
      </c>
      <c r="M5" s="5" t="inlineStr">
        <is>
          <t>1 accepted, 1 countered</t>
        </is>
      </c>
    </row>
    <row r="6">
      <c r="A6" s="2" t="inlineStr">
        <is>
          <t>HR001</t>
        </is>
      </c>
      <c r="B6" s="2" t="inlineStr">
        <is>
          <t>Jordan Ellis</t>
        </is>
      </c>
      <c r="C6" s="2" t="inlineStr">
        <is>
          <t>Talent Acquisition</t>
        </is>
      </c>
      <c r="D6" s="2" t="inlineStr">
        <is>
          <t>Senior Recruiter</t>
        </is>
      </c>
      <c r="E6" s="2" t="inlineStr">
        <is>
          <t>Employer Branding</t>
        </is>
      </c>
      <c r="F6" s="2" t="inlineStr">
        <is>
          <t>Updated Glassdoor responses and LinkedIn company page</t>
        </is>
      </c>
      <c r="G6" s="2" t="inlineStr">
        <is>
          <t>2026-03-10</t>
        </is>
      </c>
      <c r="H6" s="2" t="n">
        <v>1</v>
      </c>
      <c r="I6" s="2" t="n">
        <v>0</v>
      </c>
      <c r="J6" s="2" t="inlineStr">
        <is>
          <t>TA</t>
        </is>
      </c>
      <c r="K6" s="6" t="inlineStr">
        <is>
          <t>Medium</t>
        </is>
      </c>
      <c r="L6" s="4" t="inlineStr">
        <is>
          <t>Completed</t>
        </is>
      </c>
      <c r="M6" s="2" t="inlineStr"/>
    </row>
    <row r="7">
      <c r="A7" s="5" t="inlineStr">
        <is>
          <t>HR002</t>
        </is>
      </c>
      <c r="B7" s="5" t="inlineStr">
        <is>
          <t>Priya Nair</t>
        </is>
      </c>
      <c r="C7" s="5" t="inlineStr">
        <is>
          <t>Talent Acquisition</t>
        </is>
      </c>
      <c r="D7" s="5" t="inlineStr">
        <is>
          <t>Talent Acquisition Coordinator</t>
        </is>
      </c>
      <c r="E7" s="5" t="inlineStr">
        <is>
          <t>Onboarding</t>
        </is>
      </c>
      <c r="F7" s="5" t="inlineStr">
        <is>
          <t>Prepared new hire packets for 3 employees</t>
        </is>
      </c>
      <c r="G7" s="5" t="inlineStr">
        <is>
          <t>2026-03-01</t>
        </is>
      </c>
      <c r="H7" s="5" t="n">
        <v>2</v>
      </c>
      <c r="I7" s="5" t="n">
        <v>3</v>
      </c>
      <c r="J7" s="5" t="inlineStr">
        <is>
          <t>TA</t>
        </is>
      </c>
      <c r="K7" s="3" t="inlineStr">
        <is>
          <t>High</t>
        </is>
      </c>
      <c r="L7" s="4" t="inlineStr">
        <is>
          <t>Completed</t>
        </is>
      </c>
      <c r="M7" s="5" t="inlineStr">
        <is>
          <t>Included I-9, W-4, benefits enrollment</t>
        </is>
      </c>
    </row>
    <row r="8">
      <c r="A8" s="2" t="inlineStr">
        <is>
          <t>HR002</t>
        </is>
      </c>
      <c r="B8" s="2" t="inlineStr">
        <is>
          <t>Priya Nair</t>
        </is>
      </c>
      <c r="C8" s="2" t="inlineStr">
        <is>
          <t>Talent Acquisition</t>
        </is>
      </c>
      <c r="D8" s="2" t="inlineStr">
        <is>
          <t>Talent Acquisition Coordinator</t>
        </is>
      </c>
      <c r="E8" s="2" t="inlineStr">
        <is>
          <t>Onboarding</t>
        </is>
      </c>
      <c r="F8" s="2" t="inlineStr">
        <is>
          <t>Conducted Day 1 orientation session</t>
        </is>
      </c>
      <c r="G8" s="2" t="inlineStr">
        <is>
          <t>2026-03-04</t>
        </is>
      </c>
      <c r="H8" s="2" t="n">
        <v>4</v>
      </c>
      <c r="I8" s="2" t="n">
        <v>3</v>
      </c>
      <c r="J8" s="2" t="inlineStr">
        <is>
          <t>TA</t>
        </is>
      </c>
      <c r="K8" s="3" t="inlineStr">
        <is>
          <t>High</t>
        </is>
      </c>
      <c r="L8" s="4" t="inlineStr">
        <is>
          <t>Completed</t>
        </is>
      </c>
      <c r="M8" s="2" t="inlineStr">
        <is>
          <t>Covered culture, systems, policies</t>
        </is>
      </c>
    </row>
    <row r="9">
      <c r="A9" s="5" t="inlineStr">
        <is>
          <t>HR002</t>
        </is>
      </c>
      <c r="B9" s="5" t="inlineStr">
        <is>
          <t>Priya Nair</t>
        </is>
      </c>
      <c r="C9" s="5" t="inlineStr">
        <is>
          <t>Talent Acquisition</t>
        </is>
      </c>
      <c r="D9" s="5" t="inlineStr">
        <is>
          <t>Talent Acquisition Coordinator</t>
        </is>
      </c>
      <c r="E9" s="5" t="inlineStr">
        <is>
          <t>Recruiting</t>
        </is>
      </c>
      <c r="F9" s="5" t="inlineStr">
        <is>
          <t>Posted 5 job openings across 3 job boards</t>
        </is>
      </c>
      <c r="G9" s="5" t="inlineStr">
        <is>
          <t>2026-03-06</t>
        </is>
      </c>
      <c r="H9" s="5" t="n">
        <v>1</v>
      </c>
      <c r="I9" s="5" t="n">
        <v>0</v>
      </c>
      <c r="J9" s="5" t="inlineStr">
        <is>
          <t>TA</t>
        </is>
      </c>
      <c r="K9" s="6" t="inlineStr">
        <is>
          <t>Medium</t>
        </is>
      </c>
      <c r="L9" s="4" t="inlineStr">
        <is>
          <t>Completed</t>
        </is>
      </c>
      <c r="M9" s="5" t="inlineStr">
        <is>
          <t>Indeed, LinkedIn, Handshake</t>
        </is>
      </c>
    </row>
    <row r="10">
      <c r="A10" s="2" t="inlineStr">
        <is>
          <t>HR002</t>
        </is>
      </c>
      <c r="B10" s="2" t="inlineStr">
        <is>
          <t>Priya Nair</t>
        </is>
      </c>
      <c r="C10" s="2" t="inlineStr">
        <is>
          <t>Talent Acquisition</t>
        </is>
      </c>
      <c r="D10" s="2" t="inlineStr">
        <is>
          <t>Talent Acquisition Coordinator</t>
        </is>
      </c>
      <c r="E10" s="2" t="inlineStr">
        <is>
          <t>Background Check</t>
        </is>
      </c>
      <c r="F10" s="2" t="inlineStr">
        <is>
          <t>Initiated background checks for 4 candidates</t>
        </is>
      </c>
      <c r="G10" s="2" t="inlineStr">
        <is>
          <t>2026-03-07</t>
        </is>
      </c>
      <c r="H10" s="2" t="n">
        <v>1</v>
      </c>
      <c r="I10" s="2" t="n">
        <v>4</v>
      </c>
      <c r="J10" s="2" t="inlineStr">
        <is>
          <t>TA</t>
        </is>
      </c>
      <c r="K10" s="3" t="inlineStr">
        <is>
          <t>High</t>
        </is>
      </c>
      <c r="L10" s="4" t="inlineStr">
        <is>
          <t>Completed</t>
        </is>
      </c>
      <c r="M10" s="2" t="inlineStr">
        <is>
          <t>All cleared within 3 days</t>
        </is>
      </c>
    </row>
    <row r="11">
      <c r="A11" s="5" t="inlineStr">
        <is>
          <t>HR002</t>
        </is>
      </c>
      <c r="B11" s="5" t="inlineStr">
        <is>
          <t>Priya Nair</t>
        </is>
      </c>
      <c r="C11" s="5" t="inlineStr">
        <is>
          <t>Talent Acquisition</t>
        </is>
      </c>
      <c r="D11" s="5" t="inlineStr">
        <is>
          <t>Talent Acquisition Coordinator</t>
        </is>
      </c>
      <c r="E11" s="5" t="inlineStr">
        <is>
          <t>Onboarding</t>
        </is>
      </c>
      <c r="F11" s="5" t="inlineStr">
        <is>
          <t>30-day check-in meetings with new hires</t>
        </is>
      </c>
      <c r="G11" s="5" t="inlineStr">
        <is>
          <t>2026-03-15</t>
        </is>
      </c>
      <c r="H11" s="5" t="n">
        <v>2</v>
      </c>
      <c r="I11" s="5" t="n">
        <v>3</v>
      </c>
      <c r="J11" s="5" t="inlineStr">
        <is>
          <t>TA</t>
        </is>
      </c>
      <c r="K11" s="6" t="inlineStr">
        <is>
          <t>Medium</t>
        </is>
      </c>
      <c r="L11" s="4" t="inlineStr">
        <is>
          <t>Completed</t>
        </is>
      </c>
      <c r="M11" s="5" t="inlineStr">
        <is>
          <t>All employees adjusting well</t>
        </is>
      </c>
    </row>
    <row r="12">
      <c r="A12" s="2" t="inlineStr">
        <is>
          <t>HR003</t>
        </is>
      </c>
      <c r="B12" s="2" t="inlineStr">
        <is>
          <t>Marcus Webb</t>
        </is>
      </c>
      <c r="C12" s="2" t="inlineStr">
        <is>
          <t>HR Business Partner</t>
        </is>
      </c>
      <c r="D12" s="2" t="inlineStr">
        <is>
          <t>Sr. HR Business Partner</t>
        </is>
      </c>
      <c r="E12" s="2" t="inlineStr">
        <is>
          <t>Performance Management</t>
        </is>
      </c>
      <c r="F12" s="2" t="inlineStr">
        <is>
          <t>Facilitated Q1 performance calibration for Sales dept</t>
        </is>
      </c>
      <c r="G12" s="2" t="inlineStr">
        <is>
          <t>2026-03-03</t>
        </is>
      </c>
      <c r="H12" s="2" t="n">
        <v>4</v>
      </c>
      <c r="I12" s="2" t="n">
        <v>45</v>
      </c>
      <c r="J12" s="2" t="inlineStr">
        <is>
          <t>HRBP</t>
        </is>
      </c>
      <c r="K12" s="3" t="inlineStr">
        <is>
          <t>High</t>
        </is>
      </c>
      <c r="L12" s="4" t="inlineStr">
        <is>
          <t>Completed</t>
        </is>
      </c>
      <c r="M12" s="2" t="inlineStr">
        <is>
          <t>Ratings normalized across managers</t>
        </is>
      </c>
    </row>
    <row r="13">
      <c r="A13" s="5" t="inlineStr">
        <is>
          <t>HR003</t>
        </is>
      </c>
      <c r="B13" s="5" t="inlineStr">
        <is>
          <t>Marcus Webb</t>
        </is>
      </c>
      <c r="C13" s="5" t="inlineStr">
        <is>
          <t>HR Business Partner</t>
        </is>
      </c>
      <c r="D13" s="5" t="inlineStr">
        <is>
          <t>Sr. HR Business Partner</t>
        </is>
      </c>
      <c r="E13" s="5" t="inlineStr">
        <is>
          <t>Employee Relations</t>
        </is>
      </c>
      <c r="F13" s="5" t="inlineStr">
        <is>
          <t>Investigated workplace harassment complaint</t>
        </is>
      </c>
      <c r="G13" s="5" t="inlineStr">
        <is>
          <t>2026-03-06</t>
        </is>
      </c>
      <c r="H13" s="5" t="n">
        <v>6</v>
      </c>
      <c r="I13" s="5" t="n">
        <v>2</v>
      </c>
      <c r="J13" s="5" t="inlineStr">
        <is>
          <t>HRBP</t>
        </is>
      </c>
      <c r="K13" s="7" t="inlineStr">
        <is>
          <t>Critical</t>
        </is>
      </c>
      <c r="L13" s="4" t="inlineStr">
        <is>
          <t>Completed</t>
        </is>
      </c>
      <c r="M13" s="5" t="inlineStr">
        <is>
          <t>Substantiated; written warning issued</t>
        </is>
      </c>
    </row>
    <row r="14">
      <c r="A14" s="2" t="inlineStr">
        <is>
          <t>HR003</t>
        </is>
      </c>
      <c r="B14" s="2" t="inlineStr">
        <is>
          <t>Marcus Webb</t>
        </is>
      </c>
      <c r="C14" s="2" t="inlineStr">
        <is>
          <t>HR Business Partner</t>
        </is>
      </c>
      <c r="D14" s="2" t="inlineStr">
        <is>
          <t>Sr. HR Business Partner</t>
        </is>
      </c>
      <c r="E14" s="2" t="inlineStr">
        <is>
          <t>Performance Management</t>
        </is>
      </c>
      <c r="F14" s="2" t="inlineStr">
        <is>
          <t>Developed PIP for underperforming employee</t>
        </is>
      </c>
      <c r="G14" s="2" t="inlineStr">
        <is>
          <t>2026-03-09</t>
        </is>
      </c>
      <c r="H14" s="2" t="n">
        <v>3</v>
      </c>
      <c r="I14" s="2" t="n">
        <v>1</v>
      </c>
      <c r="J14" s="2" t="inlineStr">
        <is>
          <t>HRBP</t>
        </is>
      </c>
      <c r="K14" s="3" t="inlineStr">
        <is>
          <t>High</t>
        </is>
      </c>
      <c r="L14" s="4" t="inlineStr">
        <is>
          <t>Completed</t>
        </is>
      </c>
      <c r="M14" s="2" t="inlineStr">
        <is>
          <t>90-day plan with bi-weekly check-ins</t>
        </is>
      </c>
    </row>
    <row r="15">
      <c r="A15" s="5" t="inlineStr">
        <is>
          <t>HR003</t>
        </is>
      </c>
      <c r="B15" s="5" t="inlineStr">
        <is>
          <t>Marcus Webb</t>
        </is>
      </c>
      <c r="C15" s="5" t="inlineStr">
        <is>
          <t>HR Business Partner</t>
        </is>
      </c>
      <c r="D15" s="5" t="inlineStr">
        <is>
          <t>Sr. HR Business Partner</t>
        </is>
      </c>
      <c r="E15" s="5" t="inlineStr">
        <is>
          <t>Workforce Planning</t>
        </is>
      </c>
      <c r="F15" s="5" t="inlineStr">
        <is>
          <t>Met with VP Sales on Q2 headcount needs</t>
        </is>
      </c>
      <c r="G15" s="5" t="inlineStr">
        <is>
          <t>2026-03-11</t>
        </is>
      </c>
      <c r="H15" s="5" t="n">
        <v>2</v>
      </c>
      <c r="I15" s="5" t="n">
        <v>1</v>
      </c>
      <c r="J15" s="5" t="inlineStr">
        <is>
          <t>HRBP</t>
        </is>
      </c>
      <c r="K15" s="3" t="inlineStr">
        <is>
          <t>High</t>
        </is>
      </c>
      <c r="L15" s="4" t="inlineStr">
        <is>
          <t>Completed</t>
        </is>
      </c>
      <c r="M15" s="5" t="inlineStr">
        <is>
          <t>3 new req approvals requested</t>
        </is>
      </c>
    </row>
    <row r="16">
      <c r="A16" s="2" t="inlineStr">
        <is>
          <t>HR003</t>
        </is>
      </c>
      <c r="B16" s="2" t="inlineStr">
        <is>
          <t>Marcus Webb</t>
        </is>
      </c>
      <c r="C16" s="2" t="inlineStr">
        <is>
          <t>HR Business Partner</t>
        </is>
      </c>
      <c r="D16" s="2" t="inlineStr">
        <is>
          <t>Sr. HR Business Partner</t>
        </is>
      </c>
      <c r="E16" s="2" t="inlineStr">
        <is>
          <t>HR Consulting</t>
        </is>
      </c>
      <c r="F16" s="2" t="inlineStr">
        <is>
          <t>Coached manager on difficult performance conversation</t>
        </is>
      </c>
      <c r="G16" s="2" t="inlineStr">
        <is>
          <t>2026-03-13</t>
        </is>
      </c>
      <c r="H16" s="2" t="n">
        <v>1</v>
      </c>
      <c r="I16" s="2" t="n">
        <v>1</v>
      </c>
      <c r="J16" s="2" t="inlineStr">
        <is>
          <t>HRBP</t>
        </is>
      </c>
      <c r="K16" s="6" t="inlineStr">
        <is>
          <t>Medium</t>
        </is>
      </c>
      <c r="L16" s="4" t="inlineStr">
        <is>
          <t>Completed</t>
        </is>
      </c>
      <c r="M16" s="2" t="inlineStr"/>
    </row>
    <row r="17">
      <c r="A17" s="5" t="inlineStr">
        <is>
          <t>HR004</t>
        </is>
      </c>
      <c r="B17" s="5" t="inlineStr">
        <is>
          <t>Aisha Okafor</t>
        </is>
      </c>
      <c r="C17" s="5" t="inlineStr">
        <is>
          <t>HR Business Partner</t>
        </is>
      </c>
      <c r="D17" s="5" t="inlineStr">
        <is>
          <t>HR Business Partner</t>
        </is>
      </c>
      <c r="E17" s="5" t="inlineStr">
        <is>
          <t>Employee Relations</t>
        </is>
      </c>
      <c r="F17" s="5" t="inlineStr">
        <is>
          <t>Mediated conflict between two team leads</t>
        </is>
      </c>
      <c r="G17" s="5" t="inlineStr">
        <is>
          <t>2026-03-02</t>
        </is>
      </c>
      <c r="H17" s="5" t="n">
        <v>3</v>
      </c>
      <c r="I17" s="5" t="n">
        <v>2</v>
      </c>
      <c r="J17" s="5" t="inlineStr">
        <is>
          <t>HRBP</t>
        </is>
      </c>
      <c r="K17" s="3" t="inlineStr">
        <is>
          <t>High</t>
        </is>
      </c>
      <c r="L17" s="4" t="inlineStr">
        <is>
          <t>Completed</t>
        </is>
      </c>
      <c r="M17" s="5" t="inlineStr">
        <is>
          <t>Resolved; follow-up in 2 weeks</t>
        </is>
      </c>
    </row>
    <row r="18">
      <c r="A18" s="2" t="inlineStr">
        <is>
          <t>HR004</t>
        </is>
      </c>
      <c r="B18" s="2" t="inlineStr">
        <is>
          <t>Aisha Okafor</t>
        </is>
      </c>
      <c r="C18" s="2" t="inlineStr">
        <is>
          <t>HR Business Partner</t>
        </is>
      </c>
      <c r="D18" s="2" t="inlineStr">
        <is>
          <t>HR Business Partner</t>
        </is>
      </c>
      <c r="E18" s="2" t="inlineStr">
        <is>
          <t>Policy Update</t>
        </is>
      </c>
      <c r="F18" s="2" t="inlineStr">
        <is>
          <t>Revised remote work policy per new state regulations</t>
        </is>
      </c>
      <c r="G18" s="2" t="inlineStr">
        <is>
          <t>2026-03-04</t>
        </is>
      </c>
      <c r="H18" s="2" t="n">
        <v>4</v>
      </c>
      <c r="I18" s="2" t="n">
        <v>320</v>
      </c>
      <c r="J18" s="2" t="inlineStr">
        <is>
          <t>HRBP</t>
        </is>
      </c>
      <c r="K18" s="3" t="inlineStr">
        <is>
          <t>High</t>
        </is>
      </c>
      <c r="L18" s="4" t="inlineStr">
        <is>
          <t>Completed</t>
        </is>
      </c>
      <c r="M18" s="2" t="inlineStr">
        <is>
          <t>Distributed company-wide</t>
        </is>
      </c>
    </row>
    <row r="19">
      <c r="A19" s="5" t="inlineStr">
        <is>
          <t>HR004</t>
        </is>
      </c>
      <c r="B19" s="5" t="inlineStr">
        <is>
          <t>Aisha Okafor</t>
        </is>
      </c>
      <c r="C19" s="5" t="inlineStr">
        <is>
          <t>HR Business Partner</t>
        </is>
      </c>
      <c r="D19" s="5" t="inlineStr">
        <is>
          <t>HR Business Partner</t>
        </is>
      </c>
      <c r="E19" s="5" t="inlineStr">
        <is>
          <t>HR Consulting</t>
        </is>
      </c>
      <c r="F19" s="5" t="inlineStr">
        <is>
          <t>Advised manager on FMLA leave process</t>
        </is>
      </c>
      <c r="G19" s="5" t="inlineStr">
        <is>
          <t>2026-03-07</t>
        </is>
      </c>
      <c r="H19" s="5" t="n">
        <v>1</v>
      </c>
      <c r="I19" s="5" t="n">
        <v>1</v>
      </c>
      <c r="J19" s="5" t="inlineStr">
        <is>
          <t>HRBP</t>
        </is>
      </c>
      <c r="K19" s="6" t="inlineStr">
        <is>
          <t>Medium</t>
        </is>
      </c>
      <c r="L19" s="4" t="inlineStr">
        <is>
          <t>Completed</t>
        </is>
      </c>
      <c r="M19" s="5" t="inlineStr">
        <is>
          <t>Employee filed paperwork same day</t>
        </is>
      </c>
    </row>
    <row r="20">
      <c r="A20" s="2" t="inlineStr">
        <is>
          <t>HR004</t>
        </is>
      </c>
      <c r="B20" s="2" t="inlineStr">
        <is>
          <t>Aisha Okafor</t>
        </is>
      </c>
      <c r="C20" s="2" t="inlineStr">
        <is>
          <t>HR Business Partner</t>
        </is>
      </c>
      <c r="D20" s="2" t="inlineStr">
        <is>
          <t>HR Business Partner</t>
        </is>
      </c>
      <c r="E20" s="2" t="inlineStr">
        <is>
          <t>Offboarding</t>
        </is>
      </c>
      <c r="F20" s="2" t="inlineStr">
        <is>
          <t>Exit interview and separation processing for 2 employees</t>
        </is>
      </c>
      <c r="G20" s="2" t="inlineStr">
        <is>
          <t>2026-03-12</t>
        </is>
      </c>
      <c r="H20" s="2" t="n">
        <v>3</v>
      </c>
      <c r="I20" s="2" t="n">
        <v>2</v>
      </c>
      <c r="J20" s="2" t="inlineStr">
        <is>
          <t>HRBP</t>
        </is>
      </c>
      <c r="K20" s="3" t="inlineStr">
        <is>
          <t>High</t>
        </is>
      </c>
      <c r="L20" s="4" t="inlineStr">
        <is>
          <t>Completed</t>
        </is>
      </c>
      <c r="M20" s="2" t="inlineStr">
        <is>
          <t>Voluntary resignations; feedback captured</t>
        </is>
      </c>
    </row>
    <row r="21">
      <c r="A21" s="5" t="inlineStr">
        <is>
          <t>HR004</t>
        </is>
      </c>
      <c r="B21" s="5" t="inlineStr">
        <is>
          <t>Aisha Okafor</t>
        </is>
      </c>
      <c r="C21" s="5" t="inlineStr">
        <is>
          <t>HR Business Partner</t>
        </is>
      </c>
      <c r="D21" s="5" t="inlineStr">
        <is>
          <t>HR Business Partner</t>
        </is>
      </c>
      <c r="E21" s="5" t="inlineStr">
        <is>
          <t>Reporting</t>
        </is>
      </c>
      <c r="F21" s="5" t="inlineStr">
        <is>
          <t>Prepared Q1 turnover report for CHRO</t>
        </is>
      </c>
      <c r="G21" s="5" t="inlineStr">
        <is>
          <t>2026-03-14</t>
        </is>
      </c>
      <c r="H21" s="5" t="n">
        <v>2</v>
      </c>
      <c r="I21" s="5" t="n">
        <v>1</v>
      </c>
      <c r="J21" s="5" t="inlineStr">
        <is>
          <t>HRBP</t>
        </is>
      </c>
      <c r="K21" s="6" t="inlineStr">
        <is>
          <t>Medium</t>
        </is>
      </c>
      <c r="L21" s="4" t="inlineStr">
        <is>
          <t>Completed</t>
        </is>
      </c>
      <c r="M21" s="5" t="inlineStr">
        <is>
          <t>12.4% annualized turnover rate</t>
        </is>
      </c>
    </row>
    <row r="22">
      <c r="A22" s="2" t="inlineStr">
        <is>
          <t>HR005</t>
        </is>
      </c>
      <c r="B22" s="2" t="inlineStr">
        <is>
          <t>Diana Chen</t>
        </is>
      </c>
      <c r="C22" s="2" t="inlineStr">
        <is>
          <t>Compensation &amp; Benefits</t>
        </is>
      </c>
      <c r="D22" s="2" t="inlineStr">
        <is>
          <t>Compensation Analyst</t>
        </is>
      </c>
      <c r="E22" s="2" t="inlineStr">
        <is>
          <t>Compensation Review</t>
        </is>
      </c>
      <c r="F22" s="2" t="inlineStr">
        <is>
          <t>Benchmarked 18 roles against Radford survey data</t>
        </is>
      </c>
      <c r="G22" s="2" t="inlineStr">
        <is>
          <t>2026-03-02</t>
        </is>
      </c>
      <c r="H22" s="2" t="n">
        <v>6</v>
      </c>
      <c r="I22" s="2" t="n">
        <v>18</v>
      </c>
      <c r="J22" s="2" t="inlineStr">
        <is>
          <t>C&amp;B</t>
        </is>
      </c>
      <c r="K22" s="3" t="inlineStr">
        <is>
          <t>High</t>
        </is>
      </c>
      <c r="L22" s="4" t="inlineStr">
        <is>
          <t>Completed</t>
        </is>
      </c>
      <c r="M22" s="2" t="inlineStr">
        <is>
          <t>8 roles flagged as below market</t>
        </is>
      </c>
    </row>
    <row r="23">
      <c r="A23" s="5" t="inlineStr">
        <is>
          <t>HR005</t>
        </is>
      </c>
      <c r="B23" s="5" t="inlineStr">
        <is>
          <t>Diana Chen</t>
        </is>
      </c>
      <c r="C23" s="5" t="inlineStr">
        <is>
          <t>Compensation &amp; Benefits</t>
        </is>
      </c>
      <c r="D23" s="5" t="inlineStr">
        <is>
          <t>Compensation Analyst</t>
        </is>
      </c>
      <c r="E23" s="5" t="inlineStr">
        <is>
          <t>Compensation Review</t>
        </is>
      </c>
      <c r="F23" s="5" t="inlineStr">
        <is>
          <t>Built merit increase model for Q2 cycle</t>
        </is>
      </c>
      <c r="G23" s="5" t="inlineStr">
        <is>
          <t>2026-03-05</t>
        </is>
      </c>
      <c r="H23" s="5" t="n">
        <v>5</v>
      </c>
      <c r="I23" s="5" t="n">
        <v>320</v>
      </c>
      <c r="J23" s="5" t="inlineStr">
        <is>
          <t>C&amp;B</t>
        </is>
      </c>
      <c r="K23" s="3" t="inlineStr">
        <is>
          <t>High</t>
        </is>
      </c>
      <c r="L23" s="4" t="inlineStr">
        <is>
          <t>Completed</t>
        </is>
      </c>
      <c r="M23" s="5" t="inlineStr">
        <is>
          <t>2.5% budget modeled</t>
        </is>
      </c>
    </row>
    <row r="24">
      <c r="A24" s="2" t="inlineStr">
        <is>
          <t>HR005</t>
        </is>
      </c>
      <c r="B24" s="2" t="inlineStr">
        <is>
          <t>Diana Chen</t>
        </is>
      </c>
      <c r="C24" s="2" t="inlineStr">
        <is>
          <t>Compensation &amp; Benefits</t>
        </is>
      </c>
      <c r="D24" s="2" t="inlineStr">
        <is>
          <t>Compensation Analyst</t>
        </is>
      </c>
      <c r="E24" s="2" t="inlineStr">
        <is>
          <t>Benefits Administration</t>
        </is>
      </c>
      <c r="F24" s="2" t="inlineStr">
        <is>
          <t>Resolved 6 benefits enrollment errors</t>
        </is>
      </c>
      <c r="G24" s="2" t="inlineStr">
        <is>
          <t>2026-03-08</t>
        </is>
      </c>
      <c r="H24" s="2" t="n">
        <v>3</v>
      </c>
      <c r="I24" s="2" t="n">
        <v>6</v>
      </c>
      <c r="J24" s="2" t="inlineStr">
        <is>
          <t>C&amp;B</t>
        </is>
      </c>
      <c r="K24" s="3" t="inlineStr">
        <is>
          <t>High</t>
        </is>
      </c>
      <c r="L24" s="4" t="inlineStr">
        <is>
          <t>Completed</t>
        </is>
      </c>
      <c r="M24" s="2" t="inlineStr">
        <is>
          <t>Carrier discrepancies corrected</t>
        </is>
      </c>
    </row>
    <row r="25">
      <c r="A25" s="5" t="inlineStr">
        <is>
          <t>HR005</t>
        </is>
      </c>
      <c r="B25" s="5" t="inlineStr">
        <is>
          <t>Diana Chen</t>
        </is>
      </c>
      <c r="C25" s="5" t="inlineStr">
        <is>
          <t>Compensation &amp; Benefits</t>
        </is>
      </c>
      <c r="D25" s="5" t="inlineStr">
        <is>
          <t>Compensation Analyst</t>
        </is>
      </c>
      <c r="E25" s="5" t="inlineStr">
        <is>
          <t>Benefits Administration</t>
        </is>
      </c>
      <c r="F25" s="5" t="inlineStr">
        <is>
          <t>Presented open enrollment overview to new hires</t>
        </is>
      </c>
      <c r="G25" s="5" t="inlineStr">
        <is>
          <t>2026-03-11</t>
        </is>
      </c>
      <c r="H25" s="5" t="n">
        <v>2</v>
      </c>
      <c r="I25" s="5" t="n">
        <v>3</v>
      </c>
      <c r="J25" s="5" t="inlineStr">
        <is>
          <t>C&amp;B</t>
        </is>
      </c>
      <c r="K25" s="6" t="inlineStr">
        <is>
          <t>Medium</t>
        </is>
      </c>
      <c r="L25" s="4" t="inlineStr">
        <is>
          <t>Completed</t>
        </is>
      </c>
      <c r="M25" s="5" t="inlineStr"/>
    </row>
    <row r="26">
      <c r="A26" s="2" t="inlineStr">
        <is>
          <t>HR005</t>
        </is>
      </c>
      <c r="B26" s="2" t="inlineStr">
        <is>
          <t>Diana Chen</t>
        </is>
      </c>
      <c r="C26" s="2" t="inlineStr">
        <is>
          <t>Compensation &amp; Benefits</t>
        </is>
      </c>
      <c r="D26" s="2" t="inlineStr">
        <is>
          <t>Compensation Analyst</t>
        </is>
      </c>
      <c r="E26" s="2" t="inlineStr">
        <is>
          <t>Reporting</t>
        </is>
      </c>
      <c r="F26" s="2" t="inlineStr">
        <is>
          <t>Submitted annual EEO-1 pay data report</t>
        </is>
      </c>
      <c r="G26" s="2" t="inlineStr">
        <is>
          <t>2026-03-15</t>
        </is>
      </c>
      <c r="H26" s="2" t="n">
        <v>4</v>
      </c>
      <c r="I26" s="2" t="n">
        <v>320</v>
      </c>
      <c r="J26" s="2" t="inlineStr">
        <is>
          <t>C&amp;B</t>
        </is>
      </c>
      <c r="K26" s="7" t="inlineStr">
        <is>
          <t>Critical</t>
        </is>
      </c>
      <c r="L26" s="4" t="inlineStr">
        <is>
          <t>Completed</t>
        </is>
      </c>
      <c r="M26" s="2" t="inlineStr">
        <is>
          <t>Filed with EEOC on time</t>
        </is>
      </c>
    </row>
    <row r="27">
      <c r="A27" s="5" t="inlineStr">
        <is>
          <t>HR006</t>
        </is>
      </c>
      <c r="B27" s="5" t="inlineStr">
        <is>
          <t>Tomás Rivera</t>
        </is>
      </c>
      <c r="C27" s="5" t="inlineStr">
        <is>
          <t>Compensation &amp; Benefits</t>
        </is>
      </c>
      <c r="D27" s="5" t="inlineStr">
        <is>
          <t>Benefits Specialist</t>
        </is>
      </c>
      <c r="E27" s="5" t="inlineStr">
        <is>
          <t>Benefits Administration</t>
        </is>
      </c>
      <c r="F27" s="5" t="inlineStr">
        <is>
          <t>Processed 401k enrollment for 8 employees</t>
        </is>
      </c>
      <c r="G27" s="5" t="inlineStr">
        <is>
          <t>2026-03-01</t>
        </is>
      </c>
      <c r="H27" s="5" t="n">
        <v>2</v>
      </c>
      <c r="I27" s="5" t="n">
        <v>8</v>
      </c>
      <c r="J27" s="5" t="inlineStr">
        <is>
          <t>C&amp;B</t>
        </is>
      </c>
      <c r="K27" s="3" t="inlineStr">
        <is>
          <t>High</t>
        </is>
      </c>
      <c r="L27" s="4" t="inlineStr">
        <is>
          <t>Completed</t>
        </is>
      </c>
      <c r="M27" s="5" t="inlineStr">
        <is>
          <t>Contributions effective next pay period</t>
        </is>
      </c>
    </row>
    <row r="28">
      <c r="A28" s="2" t="inlineStr">
        <is>
          <t>HR006</t>
        </is>
      </c>
      <c r="B28" s="2" t="inlineStr">
        <is>
          <t>Tomás Rivera</t>
        </is>
      </c>
      <c r="C28" s="2" t="inlineStr">
        <is>
          <t>Compensation &amp; Benefits</t>
        </is>
      </c>
      <c r="D28" s="2" t="inlineStr">
        <is>
          <t>Benefits Specialist</t>
        </is>
      </c>
      <c r="E28" s="2" t="inlineStr">
        <is>
          <t>Benefits Administration</t>
        </is>
      </c>
      <c r="F28" s="2" t="inlineStr">
        <is>
          <t>Handled 5 FSA reimbursement issues</t>
        </is>
      </c>
      <c r="G28" s="2" t="inlineStr">
        <is>
          <t>2026-03-04</t>
        </is>
      </c>
      <c r="H28" s="2" t="n">
        <v>2</v>
      </c>
      <c r="I28" s="2" t="n">
        <v>5</v>
      </c>
      <c r="J28" s="2" t="inlineStr">
        <is>
          <t>C&amp;B</t>
        </is>
      </c>
      <c r="K28" s="6" t="inlineStr">
        <is>
          <t>Medium</t>
        </is>
      </c>
      <c r="L28" s="4" t="inlineStr">
        <is>
          <t>Completed</t>
        </is>
      </c>
      <c r="M28" s="2" t="inlineStr"/>
    </row>
    <row r="29">
      <c r="A29" s="5" t="inlineStr">
        <is>
          <t>HR006</t>
        </is>
      </c>
      <c r="B29" s="5" t="inlineStr">
        <is>
          <t>Tomás Rivera</t>
        </is>
      </c>
      <c r="C29" s="5" t="inlineStr">
        <is>
          <t>Compensation &amp; Benefits</t>
        </is>
      </c>
      <c r="D29" s="5" t="inlineStr">
        <is>
          <t>Benefits Specialist</t>
        </is>
      </c>
      <c r="E29" s="5" t="inlineStr">
        <is>
          <t>FMLA/Leave</t>
        </is>
      </c>
      <c r="F29" s="5" t="inlineStr">
        <is>
          <t>Processed 3 FMLA leave requests</t>
        </is>
      </c>
      <c r="G29" s="5" t="inlineStr">
        <is>
          <t>2026-03-07</t>
        </is>
      </c>
      <c r="H29" s="5" t="n">
        <v>3</v>
      </c>
      <c r="I29" s="5" t="n">
        <v>3</v>
      </c>
      <c r="J29" s="5" t="inlineStr">
        <is>
          <t>C&amp;B</t>
        </is>
      </c>
      <c r="K29" s="3" t="inlineStr">
        <is>
          <t>High</t>
        </is>
      </c>
      <c r="L29" s="4" t="inlineStr">
        <is>
          <t>Completed</t>
        </is>
      </c>
      <c r="M29" s="5" t="inlineStr">
        <is>
          <t>Paperwork sent to employees</t>
        </is>
      </c>
    </row>
    <row r="30">
      <c r="A30" s="2" t="inlineStr">
        <is>
          <t>HR006</t>
        </is>
      </c>
      <c r="B30" s="2" t="inlineStr">
        <is>
          <t>Tomás Rivera</t>
        </is>
      </c>
      <c r="C30" s="2" t="inlineStr">
        <is>
          <t>Compensation &amp; Benefits</t>
        </is>
      </c>
      <c r="D30" s="2" t="inlineStr">
        <is>
          <t>Benefits Specialist</t>
        </is>
      </c>
      <c r="E30" s="2" t="inlineStr">
        <is>
          <t>Benefits Administration</t>
        </is>
      </c>
      <c r="F30" s="2" t="inlineStr">
        <is>
          <t>Renewal meeting with health insurance broker</t>
        </is>
      </c>
      <c r="G30" s="2" t="inlineStr">
        <is>
          <t>2026-03-10</t>
        </is>
      </c>
      <c r="H30" s="2" t="n">
        <v>2</v>
      </c>
      <c r="I30" s="2" t="n">
        <v>320</v>
      </c>
      <c r="J30" s="2" t="inlineStr">
        <is>
          <t>C&amp;B</t>
        </is>
      </c>
      <c r="K30" s="3" t="inlineStr">
        <is>
          <t>High</t>
        </is>
      </c>
      <c r="L30" s="4" t="inlineStr">
        <is>
          <t>Completed</t>
        </is>
      </c>
      <c r="M30" s="2" t="inlineStr">
        <is>
          <t>Rates increase 6.2% in July</t>
        </is>
      </c>
    </row>
    <row r="31">
      <c r="A31" s="5" t="inlineStr">
        <is>
          <t>HR006</t>
        </is>
      </c>
      <c r="B31" s="5" t="inlineStr">
        <is>
          <t>Tomás Rivera</t>
        </is>
      </c>
      <c r="C31" s="5" t="inlineStr">
        <is>
          <t>Compensation &amp; Benefits</t>
        </is>
      </c>
      <c r="D31" s="5" t="inlineStr">
        <is>
          <t>Benefits Specialist</t>
        </is>
      </c>
      <c r="E31" s="5" t="inlineStr">
        <is>
          <t>Benefits Administration</t>
        </is>
      </c>
      <c r="F31" s="5" t="inlineStr">
        <is>
          <t>Workers' comp claim intake for 1 employee</t>
        </is>
      </c>
      <c r="G31" s="5" t="inlineStr">
        <is>
          <t>2026-03-13</t>
        </is>
      </c>
      <c r="H31" s="5" t="n">
        <v>1</v>
      </c>
      <c r="I31" s="5" t="n">
        <v>1</v>
      </c>
      <c r="J31" s="5" t="inlineStr">
        <is>
          <t>C&amp;B</t>
        </is>
      </c>
      <c r="K31" s="3" t="inlineStr">
        <is>
          <t>High</t>
        </is>
      </c>
      <c r="L31" s="4" t="inlineStr">
        <is>
          <t>Completed</t>
        </is>
      </c>
      <c r="M31" s="5" t="inlineStr">
        <is>
          <t>Claim submitted to carrier</t>
        </is>
      </c>
    </row>
    <row r="32">
      <c r="A32" s="2" t="inlineStr">
        <is>
          <t>HR007</t>
        </is>
      </c>
      <c r="B32" s="2" t="inlineStr">
        <is>
          <t>Keisha Daniels</t>
        </is>
      </c>
      <c r="C32" s="2" t="inlineStr">
        <is>
          <t>Payroll</t>
        </is>
      </c>
      <c r="D32" s="2" t="inlineStr">
        <is>
          <t>Payroll Manager</t>
        </is>
      </c>
      <c r="E32" s="2" t="inlineStr">
        <is>
          <t>Payroll</t>
        </is>
      </c>
      <c r="F32" s="2" t="inlineStr">
        <is>
          <t>Processed semi-monthly payroll for 320 employees</t>
        </is>
      </c>
      <c r="G32" s="2" t="inlineStr">
        <is>
          <t>2026-03-05</t>
        </is>
      </c>
      <c r="H32" s="2" t="n">
        <v>6</v>
      </c>
      <c r="I32" s="2" t="n">
        <v>320</v>
      </c>
      <c r="J32" s="2" t="inlineStr">
        <is>
          <t>PAY</t>
        </is>
      </c>
      <c r="K32" s="7" t="inlineStr">
        <is>
          <t>Critical</t>
        </is>
      </c>
      <c r="L32" s="4" t="inlineStr">
        <is>
          <t>Completed</t>
        </is>
      </c>
      <c r="M32" s="2" t="inlineStr">
        <is>
          <t>No exceptions; ACH submitted on time</t>
        </is>
      </c>
    </row>
    <row r="33">
      <c r="A33" s="5" t="inlineStr">
        <is>
          <t>HR007</t>
        </is>
      </c>
      <c r="B33" s="5" t="inlineStr">
        <is>
          <t>Keisha Daniels</t>
        </is>
      </c>
      <c r="C33" s="5" t="inlineStr">
        <is>
          <t>Payroll</t>
        </is>
      </c>
      <c r="D33" s="5" t="inlineStr">
        <is>
          <t>Payroll Manager</t>
        </is>
      </c>
      <c r="E33" s="5" t="inlineStr">
        <is>
          <t>Payroll</t>
        </is>
      </c>
      <c r="F33" s="5" t="inlineStr">
        <is>
          <t>Processed off-cycle payroll for 2 terminations</t>
        </is>
      </c>
      <c r="G33" s="5" t="inlineStr">
        <is>
          <t>2026-03-08</t>
        </is>
      </c>
      <c r="H33" s="5" t="n">
        <v>2</v>
      </c>
      <c r="I33" s="5" t="n">
        <v>2</v>
      </c>
      <c r="J33" s="5" t="inlineStr">
        <is>
          <t>PAY</t>
        </is>
      </c>
      <c r="K33" s="3" t="inlineStr">
        <is>
          <t>High</t>
        </is>
      </c>
      <c r="L33" s="4" t="inlineStr">
        <is>
          <t>Completed</t>
        </is>
      </c>
      <c r="M33" s="5" t="inlineStr">
        <is>
          <t>Final pay with accrued PTO</t>
        </is>
      </c>
    </row>
    <row r="34">
      <c r="A34" s="2" t="inlineStr">
        <is>
          <t>HR007</t>
        </is>
      </c>
      <c r="B34" s="2" t="inlineStr">
        <is>
          <t>Keisha Daniels</t>
        </is>
      </c>
      <c r="C34" s="2" t="inlineStr">
        <is>
          <t>Payroll</t>
        </is>
      </c>
      <c r="D34" s="2" t="inlineStr">
        <is>
          <t>Payroll Manager</t>
        </is>
      </c>
      <c r="E34" s="2" t="inlineStr">
        <is>
          <t>Compliance</t>
        </is>
      </c>
      <c r="F34" s="2" t="inlineStr">
        <is>
          <t>Reconciled Q1 941 payroll tax filing</t>
        </is>
      </c>
      <c r="G34" s="2" t="inlineStr">
        <is>
          <t>2026-03-12</t>
        </is>
      </c>
      <c r="H34" s="2" t="n">
        <v>4</v>
      </c>
      <c r="I34" s="2" t="n">
        <v>320</v>
      </c>
      <c r="J34" s="2" t="inlineStr">
        <is>
          <t>PAY</t>
        </is>
      </c>
      <c r="K34" s="7" t="inlineStr">
        <is>
          <t>Critical</t>
        </is>
      </c>
      <c r="L34" s="4" t="inlineStr">
        <is>
          <t>Completed</t>
        </is>
      </c>
      <c r="M34" s="2" t="inlineStr">
        <is>
          <t>Submitted to IRS; no discrepancies</t>
        </is>
      </c>
    </row>
    <row r="35">
      <c r="A35" s="5" t="inlineStr">
        <is>
          <t>HR007</t>
        </is>
      </c>
      <c r="B35" s="5" t="inlineStr">
        <is>
          <t>Keisha Daniels</t>
        </is>
      </c>
      <c r="C35" s="5" t="inlineStr">
        <is>
          <t>Payroll</t>
        </is>
      </c>
      <c r="D35" s="5" t="inlineStr">
        <is>
          <t>Payroll Manager</t>
        </is>
      </c>
      <c r="E35" s="5" t="inlineStr">
        <is>
          <t>Reporting</t>
        </is>
      </c>
      <c r="F35" s="5" t="inlineStr">
        <is>
          <t>Generated labor cost report by department for CFO</t>
        </is>
      </c>
      <c r="G35" s="5" t="inlineStr">
        <is>
          <t>2026-03-14</t>
        </is>
      </c>
      <c r="H35" s="5" t="n">
        <v>3</v>
      </c>
      <c r="I35" s="5" t="n">
        <v>1</v>
      </c>
      <c r="J35" s="5" t="inlineStr">
        <is>
          <t>PAY</t>
        </is>
      </c>
      <c r="K35" s="3" t="inlineStr">
        <is>
          <t>High</t>
        </is>
      </c>
      <c r="L35" s="4" t="inlineStr">
        <is>
          <t>Completed</t>
        </is>
      </c>
      <c r="M35" s="5" t="inlineStr">
        <is>
          <t>Shared via Workday</t>
        </is>
      </c>
    </row>
    <row r="36">
      <c r="A36" s="2" t="inlineStr">
        <is>
          <t>HR007</t>
        </is>
      </c>
      <c r="B36" s="2" t="inlineStr">
        <is>
          <t>Keisha Daniels</t>
        </is>
      </c>
      <c r="C36" s="2" t="inlineStr">
        <is>
          <t>Payroll</t>
        </is>
      </c>
      <c r="D36" s="2" t="inlineStr">
        <is>
          <t>Payroll Manager</t>
        </is>
      </c>
      <c r="E36" s="2" t="inlineStr">
        <is>
          <t>Payroll</t>
        </is>
      </c>
      <c r="F36" s="2" t="inlineStr">
        <is>
          <t>Updated direct deposit info for 4 employees</t>
        </is>
      </c>
      <c r="G36" s="2" t="inlineStr">
        <is>
          <t>2026-03-15</t>
        </is>
      </c>
      <c r="H36" s="2" t="n">
        <v>1</v>
      </c>
      <c r="I36" s="2" t="n">
        <v>4</v>
      </c>
      <c r="J36" s="2" t="inlineStr">
        <is>
          <t>PAY</t>
        </is>
      </c>
      <c r="K36" s="6" t="inlineStr">
        <is>
          <t>Medium</t>
        </is>
      </c>
      <c r="L36" s="4" t="inlineStr">
        <is>
          <t>Completed</t>
        </is>
      </c>
      <c r="M36" s="2" t="inlineStr"/>
    </row>
    <row r="37">
      <c r="A37" s="5" t="inlineStr">
        <is>
          <t>HR008</t>
        </is>
      </c>
      <c r="B37" s="5" t="inlineStr">
        <is>
          <t>Samira Patel</t>
        </is>
      </c>
      <c r="C37" s="5" t="inlineStr">
        <is>
          <t>Learning &amp; Development</t>
        </is>
      </c>
      <c r="D37" s="5" t="inlineStr">
        <is>
          <t>L&amp;D Specialist</t>
        </is>
      </c>
      <c r="E37" s="5" t="inlineStr">
        <is>
          <t>Training</t>
        </is>
      </c>
      <c r="F37" s="5" t="inlineStr">
        <is>
          <t>Delivered unconscious bias training (2 sessions)</t>
        </is>
      </c>
      <c r="G37" s="5" t="inlineStr">
        <is>
          <t>2026-03-03</t>
        </is>
      </c>
      <c r="H37" s="5" t="n">
        <v>6</v>
      </c>
      <c r="I37" s="5" t="n">
        <v>40</v>
      </c>
      <c r="J37" s="5" t="inlineStr">
        <is>
          <t>L&amp;D</t>
        </is>
      </c>
      <c r="K37" s="3" t="inlineStr">
        <is>
          <t>High</t>
        </is>
      </c>
      <c r="L37" s="4" t="inlineStr">
        <is>
          <t>Completed</t>
        </is>
      </c>
      <c r="M37" s="5" t="inlineStr">
        <is>
          <t>Average satisfaction: 4.6/5</t>
        </is>
      </c>
    </row>
    <row r="38">
      <c r="A38" s="2" t="inlineStr">
        <is>
          <t>HR008</t>
        </is>
      </c>
      <c r="B38" s="2" t="inlineStr">
        <is>
          <t>Samira Patel</t>
        </is>
      </c>
      <c r="C38" s="2" t="inlineStr">
        <is>
          <t>Learning &amp; Development</t>
        </is>
      </c>
      <c r="D38" s="2" t="inlineStr">
        <is>
          <t>L&amp;D Specialist</t>
        </is>
      </c>
      <c r="E38" s="2" t="inlineStr">
        <is>
          <t>Training</t>
        </is>
      </c>
      <c r="F38" s="2" t="inlineStr">
        <is>
          <t>Designed new manager onboarding curriculum</t>
        </is>
      </c>
      <c r="G38" s="2" t="inlineStr">
        <is>
          <t>2026-03-06</t>
        </is>
      </c>
      <c r="H38" s="2" t="n">
        <v>5</v>
      </c>
      <c r="I38" s="2" t="n">
        <v>0</v>
      </c>
      <c r="J38" s="2" t="inlineStr">
        <is>
          <t>L&amp;D</t>
        </is>
      </c>
      <c r="K38" s="3" t="inlineStr">
        <is>
          <t>High</t>
        </is>
      </c>
      <c r="L38" s="8" t="inlineStr">
        <is>
          <t>In Progress</t>
        </is>
      </c>
      <c r="M38" s="2" t="inlineStr">
        <is>
          <t>Draft 1 complete; review pending</t>
        </is>
      </c>
    </row>
    <row r="39">
      <c r="A39" s="5" t="inlineStr">
        <is>
          <t>HR008</t>
        </is>
      </c>
      <c r="B39" s="5" t="inlineStr">
        <is>
          <t>Samira Patel</t>
        </is>
      </c>
      <c r="C39" s="5" t="inlineStr">
        <is>
          <t>Learning &amp; Development</t>
        </is>
      </c>
      <c r="D39" s="5" t="inlineStr">
        <is>
          <t>L&amp;D Specialist</t>
        </is>
      </c>
      <c r="E39" s="5" t="inlineStr">
        <is>
          <t>Training</t>
        </is>
      </c>
      <c r="F39" s="5" t="inlineStr">
        <is>
          <t>Facilitated conflict resolution workshop</t>
        </is>
      </c>
      <c r="G39" s="5" t="inlineStr">
        <is>
          <t>2026-03-09</t>
        </is>
      </c>
      <c r="H39" s="5" t="n">
        <v>4</v>
      </c>
      <c r="I39" s="5" t="n">
        <v>18</v>
      </c>
      <c r="J39" s="5" t="inlineStr">
        <is>
          <t>L&amp;D</t>
        </is>
      </c>
      <c r="K39" s="6" t="inlineStr">
        <is>
          <t>Medium</t>
        </is>
      </c>
      <c r="L39" s="4" t="inlineStr">
        <is>
          <t>Completed</t>
        </is>
      </c>
      <c r="M39" s="5" t="inlineStr">
        <is>
          <t>Interactive role-play used</t>
        </is>
      </c>
    </row>
    <row r="40">
      <c r="A40" s="2" t="inlineStr">
        <is>
          <t>HR008</t>
        </is>
      </c>
      <c r="B40" s="2" t="inlineStr">
        <is>
          <t>Samira Patel</t>
        </is>
      </c>
      <c r="C40" s="2" t="inlineStr">
        <is>
          <t>Learning &amp; Development</t>
        </is>
      </c>
      <c r="D40" s="2" t="inlineStr">
        <is>
          <t>L&amp;D Specialist</t>
        </is>
      </c>
      <c r="E40" s="2" t="inlineStr">
        <is>
          <t>Training</t>
        </is>
      </c>
      <c r="F40" s="2" t="inlineStr">
        <is>
          <t>Coordinated compliance training (HIPAA, harassment)</t>
        </is>
      </c>
      <c r="G40" s="2" t="inlineStr">
        <is>
          <t>2026-03-11</t>
        </is>
      </c>
      <c r="H40" s="2" t="n">
        <v>3</v>
      </c>
      <c r="I40" s="2" t="n">
        <v>320</v>
      </c>
      <c r="J40" s="2" t="inlineStr">
        <is>
          <t>L&amp;D</t>
        </is>
      </c>
      <c r="K40" s="7" t="inlineStr">
        <is>
          <t>Critical</t>
        </is>
      </c>
      <c r="L40" s="4" t="inlineStr">
        <is>
          <t>Completed</t>
        </is>
      </c>
      <c r="M40" s="2" t="inlineStr">
        <is>
          <t>100% completion tracked in LMS</t>
        </is>
      </c>
    </row>
    <row r="41">
      <c r="A41" s="5" t="inlineStr">
        <is>
          <t>HR008</t>
        </is>
      </c>
      <c r="B41" s="5" t="inlineStr">
        <is>
          <t>Samira Patel</t>
        </is>
      </c>
      <c r="C41" s="5" t="inlineStr">
        <is>
          <t>Learning &amp; Development</t>
        </is>
      </c>
      <c r="D41" s="5" t="inlineStr">
        <is>
          <t>L&amp;D Specialist</t>
        </is>
      </c>
      <c r="E41" s="5" t="inlineStr">
        <is>
          <t>Reporting</t>
        </is>
      </c>
      <c r="F41" s="5" t="inlineStr">
        <is>
          <t>Pulled LMS completion report for CHRO dashboard</t>
        </is>
      </c>
      <c r="G41" s="5" t="inlineStr">
        <is>
          <t>2026-03-14</t>
        </is>
      </c>
      <c r="H41" s="5" t="n">
        <v>1</v>
      </c>
      <c r="I41" s="5" t="n">
        <v>1</v>
      </c>
      <c r="J41" s="5" t="inlineStr">
        <is>
          <t>L&amp;D</t>
        </is>
      </c>
      <c r="K41" s="9" t="inlineStr">
        <is>
          <t>Low</t>
        </is>
      </c>
      <c r="L41" s="4" t="inlineStr">
        <is>
          <t>Completed</t>
        </is>
      </c>
      <c r="M41" s="5" t="inlineStr"/>
    </row>
    <row r="42">
      <c r="A42" s="2" t="inlineStr">
        <is>
          <t>HR009</t>
        </is>
      </c>
      <c r="B42" s="2" t="inlineStr">
        <is>
          <t>Ben Carter</t>
        </is>
      </c>
      <c r="C42" s="2" t="inlineStr">
        <is>
          <t>HR Operations</t>
        </is>
      </c>
      <c r="D42" s="2" t="inlineStr">
        <is>
          <t>HR Operations Manager</t>
        </is>
      </c>
      <c r="E42" s="2" t="inlineStr">
        <is>
          <t>HRIS</t>
        </is>
      </c>
      <c r="F42" s="2" t="inlineStr">
        <is>
          <t>Audited employee records for data integrity</t>
        </is>
      </c>
      <c r="G42" s="2" t="inlineStr">
        <is>
          <t>2026-03-02</t>
        </is>
      </c>
      <c r="H42" s="2" t="n">
        <v>5</v>
      </c>
      <c r="I42" s="2" t="n">
        <v>320</v>
      </c>
      <c r="J42" s="2" t="inlineStr">
        <is>
          <t>HROP</t>
        </is>
      </c>
      <c r="K42" s="3" t="inlineStr">
        <is>
          <t>High</t>
        </is>
      </c>
      <c r="L42" s="4" t="inlineStr">
        <is>
          <t>Completed</t>
        </is>
      </c>
      <c r="M42" s="2" t="inlineStr">
        <is>
          <t>22 records corrected</t>
        </is>
      </c>
    </row>
    <row r="43">
      <c r="A43" s="5" t="inlineStr">
        <is>
          <t>HR009</t>
        </is>
      </c>
      <c r="B43" s="5" t="inlineStr">
        <is>
          <t>Ben Carter</t>
        </is>
      </c>
      <c r="C43" s="5" t="inlineStr">
        <is>
          <t>HR Operations</t>
        </is>
      </c>
      <c r="D43" s="5" t="inlineStr">
        <is>
          <t>HR Operations Manager</t>
        </is>
      </c>
      <c r="E43" s="5" t="inlineStr">
        <is>
          <t>Compliance</t>
        </is>
      </c>
      <c r="F43" s="5" t="inlineStr">
        <is>
          <t>Conducted I-9 reverification audit</t>
        </is>
      </c>
      <c r="G43" s="5" t="inlineStr">
        <is>
          <t>2026-03-05</t>
        </is>
      </c>
      <c r="H43" s="5" t="n">
        <v>4</v>
      </c>
      <c r="I43" s="5" t="n">
        <v>14</v>
      </c>
      <c r="J43" s="5" t="inlineStr">
        <is>
          <t>HROP</t>
        </is>
      </c>
      <c r="K43" s="7" t="inlineStr">
        <is>
          <t>Critical</t>
        </is>
      </c>
      <c r="L43" s="4" t="inlineStr">
        <is>
          <t>Completed</t>
        </is>
      </c>
      <c r="M43" s="5" t="inlineStr">
        <is>
          <t>All compliant; 2 expiring in 60 days</t>
        </is>
      </c>
    </row>
    <row r="44">
      <c r="A44" s="2" t="inlineStr">
        <is>
          <t>HR009</t>
        </is>
      </c>
      <c r="B44" s="2" t="inlineStr">
        <is>
          <t>Ben Carter</t>
        </is>
      </c>
      <c r="C44" s="2" t="inlineStr">
        <is>
          <t>HR Operations</t>
        </is>
      </c>
      <c r="D44" s="2" t="inlineStr">
        <is>
          <t>HR Operations Manager</t>
        </is>
      </c>
      <c r="E44" s="2" t="inlineStr">
        <is>
          <t>HRIS</t>
        </is>
      </c>
      <c r="F44" s="2" t="inlineStr">
        <is>
          <t>Configured new org chart in Workday</t>
        </is>
      </c>
      <c r="G44" s="2" t="inlineStr">
        <is>
          <t>2026-03-08</t>
        </is>
      </c>
      <c r="H44" s="2" t="n">
        <v>3</v>
      </c>
      <c r="I44" s="2" t="n">
        <v>320</v>
      </c>
      <c r="J44" s="2" t="inlineStr">
        <is>
          <t>HROP</t>
        </is>
      </c>
      <c r="K44" s="6" t="inlineStr">
        <is>
          <t>Medium</t>
        </is>
      </c>
      <c r="L44" s="4" t="inlineStr">
        <is>
          <t>Completed</t>
        </is>
      </c>
      <c r="M44" s="2" t="inlineStr">
        <is>
          <t>Reflects Q1 reorg</t>
        </is>
      </c>
    </row>
    <row r="45">
      <c r="A45" s="5" t="inlineStr">
        <is>
          <t>HR009</t>
        </is>
      </c>
      <c r="B45" s="5" t="inlineStr">
        <is>
          <t>Ben Carter</t>
        </is>
      </c>
      <c r="C45" s="5" t="inlineStr">
        <is>
          <t>HR Operations</t>
        </is>
      </c>
      <c r="D45" s="5" t="inlineStr">
        <is>
          <t>HR Operations Manager</t>
        </is>
      </c>
      <c r="E45" s="5" t="inlineStr">
        <is>
          <t>Reporting</t>
        </is>
      </c>
      <c r="F45" s="5" t="inlineStr">
        <is>
          <t>Built headcount dashboard in Tableau</t>
        </is>
      </c>
      <c r="G45" s="5" t="inlineStr">
        <is>
          <t>2026-03-11</t>
        </is>
      </c>
      <c r="H45" s="5" t="n">
        <v>4</v>
      </c>
      <c r="I45" s="5" t="n">
        <v>5</v>
      </c>
      <c r="J45" s="5" t="inlineStr">
        <is>
          <t>HROP</t>
        </is>
      </c>
      <c r="K45" s="6" t="inlineStr">
        <is>
          <t>Medium</t>
        </is>
      </c>
      <c r="L45" s="4" t="inlineStr">
        <is>
          <t>Completed</t>
        </is>
      </c>
      <c r="M45" s="5" t="inlineStr">
        <is>
          <t>Shared with People team leads</t>
        </is>
      </c>
    </row>
    <row r="46">
      <c r="A46" s="2" t="inlineStr">
        <is>
          <t>HR009</t>
        </is>
      </c>
      <c r="B46" s="2" t="inlineStr">
        <is>
          <t>Ben Carter</t>
        </is>
      </c>
      <c r="C46" s="2" t="inlineStr">
        <is>
          <t>HR Operations</t>
        </is>
      </c>
      <c r="D46" s="2" t="inlineStr">
        <is>
          <t>HR Operations Manager</t>
        </is>
      </c>
      <c r="E46" s="2" t="inlineStr">
        <is>
          <t>Policy Update</t>
        </is>
      </c>
      <c r="F46" s="2" t="inlineStr">
        <is>
          <t>Updated employee handbook (5 sections)</t>
        </is>
      </c>
      <c r="G46" s="2" t="inlineStr">
        <is>
          <t>2026-03-13</t>
        </is>
      </c>
      <c r="H46" s="2" t="n">
        <v>5</v>
      </c>
      <c r="I46" s="2" t="n">
        <v>320</v>
      </c>
      <c r="J46" s="2" t="inlineStr">
        <is>
          <t>HROP</t>
        </is>
      </c>
      <c r="K46" s="3" t="inlineStr">
        <is>
          <t>High</t>
        </is>
      </c>
      <c r="L46" s="4" t="inlineStr">
        <is>
          <t>Completed</t>
        </is>
      </c>
      <c r="M46" s="2" t="inlineStr">
        <is>
          <t>Signed acknowledgements collected</t>
        </is>
      </c>
    </row>
    <row r="47">
      <c r="A47" s="5" t="inlineStr">
        <is>
          <t>HR010</t>
        </is>
      </c>
      <c r="B47" s="5" t="inlineStr">
        <is>
          <t>Fatima Hassan</t>
        </is>
      </c>
      <c r="C47" s="5" t="inlineStr">
        <is>
          <t>HR Operations</t>
        </is>
      </c>
      <c r="D47" s="5" t="inlineStr">
        <is>
          <t>HR Compliance Specialist</t>
        </is>
      </c>
      <c r="E47" s="5" t="inlineStr">
        <is>
          <t>Compliance</t>
        </is>
      </c>
      <c r="F47" s="5" t="inlineStr">
        <is>
          <t>Prepared EEO-1 component 1 filing</t>
        </is>
      </c>
      <c r="G47" s="5" t="inlineStr">
        <is>
          <t>2026-03-03</t>
        </is>
      </c>
      <c r="H47" s="5" t="n">
        <v>5</v>
      </c>
      <c r="I47" s="5" t="n">
        <v>320</v>
      </c>
      <c r="J47" s="5" t="inlineStr">
        <is>
          <t>HROP</t>
        </is>
      </c>
      <c r="K47" s="7" t="inlineStr">
        <is>
          <t>Critical</t>
        </is>
      </c>
      <c r="L47" s="4" t="inlineStr">
        <is>
          <t>Completed</t>
        </is>
      </c>
      <c r="M47" s="5" t="inlineStr">
        <is>
          <t>Filed on time</t>
        </is>
      </c>
    </row>
    <row r="48">
      <c r="A48" s="2" t="inlineStr">
        <is>
          <t>HR010</t>
        </is>
      </c>
      <c r="B48" s="2" t="inlineStr">
        <is>
          <t>Fatima Hassan</t>
        </is>
      </c>
      <c r="C48" s="2" t="inlineStr">
        <is>
          <t>HR Operations</t>
        </is>
      </c>
      <c r="D48" s="2" t="inlineStr">
        <is>
          <t>HR Compliance Specialist</t>
        </is>
      </c>
      <c r="E48" s="2" t="inlineStr">
        <is>
          <t>Compliance</t>
        </is>
      </c>
      <c r="F48" s="2" t="inlineStr">
        <is>
          <t>State-specific labor law update review (3 states)</t>
        </is>
      </c>
      <c r="G48" s="2" t="inlineStr">
        <is>
          <t>2026-03-06</t>
        </is>
      </c>
      <c r="H48" s="2" t="n">
        <v>3</v>
      </c>
      <c r="I48" s="2" t="n">
        <v>320</v>
      </c>
      <c r="J48" s="2" t="inlineStr">
        <is>
          <t>HROP</t>
        </is>
      </c>
      <c r="K48" s="3" t="inlineStr">
        <is>
          <t>High</t>
        </is>
      </c>
      <c r="L48" s="4" t="inlineStr">
        <is>
          <t>Completed</t>
        </is>
      </c>
      <c r="M48" s="2" t="inlineStr">
        <is>
          <t>Flagged 2 policy changes needed</t>
        </is>
      </c>
    </row>
    <row r="49">
      <c r="A49" s="5" t="inlineStr">
        <is>
          <t>HR010</t>
        </is>
      </c>
      <c r="B49" s="5" t="inlineStr">
        <is>
          <t>Fatima Hassan</t>
        </is>
      </c>
      <c r="C49" s="5" t="inlineStr">
        <is>
          <t>HR Operations</t>
        </is>
      </c>
      <c r="D49" s="5" t="inlineStr">
        <is>
          <t>HR Compliance Specialist</t>
        </is>
      </c>
      <c r="E49" s="5" t="inlineStr">
        <is>
          <t>Compliance</t>
        </is>
      </c>
      <c r="F49" s="5" t="inlineStr">
        <is>
          <t>ADA accommodation review for 1 employee</t>
        </is>
      </c>
      <c r="G49" s="5" t="inlineStr">
        <is>
          <t>2026-03-09</t>
        </is>
      </c>
      <c r="H49" s="5" t="n">
        <v>2</v>
      </c>
      <c r="I49" s="5" t="n">
        <v>1</v>
      </c>
      <c r="J49" s="5" t="inlineStr">
        <is>
          <t>HROP</t>
        </is>
      </c>
      <c r="K49" s="3" t="inlineStr">
        <is>
          <t>High</t>
        </is>
      </c>
      <c r="L49" s="4" t="inlineStr">
        <is>
          <t>Completed</t>
        </is>
      </c>
      <c r="M49" s="5" t="inlineStr">
        <is>
          <t>Approved; equipment ordered</t>
        </is>
      </c>
    </row>
    <row r="50">
      <c r="A50" s="2" t="inlineStr">
        <is>
          <t>HR010</t>
        </is>
      </c>
      <c r="B50" s="2" t="inlineStr">
        <is>
          <t>Fatima Hassan</t>
        </is>
      </c>
      <c r="C50" s="2" t="inlineStr">
        <is>
          <t>HR Operations</t>
        </is>
      </c>
      <c r="D50" s="2" t="inlineStr">
        <is>
          <t>HR Compliance Specialist</t>
        </is>
      </c>
      <c r="E50" s="2" t="inlineStr">
        <is>
          <t>Compliance</t>
        </is>
      </c>
      <c r="F50" s="2" t="inlineStr">
        <is>
          <t>OSHA recordkeeping log update</t>
        </is>
      </c>
      <c r="G50" s="2" t="inlineStr">
        <is>
          <t>2026-03-12</t>
        </is>
      </c>
      <c r="H50" s="2" t="n">
        <v>2</v>
      </c>
      <c r="I50" s="2" t="n">
        <v>1</v>
      </c>
      <c r="J50" s="2" t="inlineStr">
        <is>
          <t>HROP</t>
        </is>
      </c>
      <c r="K50" s="3" t="inlineStr">
        <is>
          <t>High</t>
        </is>
      </c>
      <c r="L50" s="4" t="inlineStr">
        <is>
          <t>Completed</t>
        </is>
      </c>
      <c r="M50" s="2" t="inlineStr">
        <is>
          <t>1 recordable incident logged</t>
        </is>
      </c>
    </row>
    <row r="51">
      <c r="A51" s="5" t="inlineStr">
        <is>
          <t>HR010</t>
        </is>
      </c>
      <c r="B51" s="5" t="inlineStr">
        <is>
          <t>Fatima Hassan</t>
        </is>
      </c>
      <c r="C51" s="5" t="inlineStr">
        <is>
          <t>HR Operations</t>
        </is>
      </c>
      <c r="D51" s="5" t="inlineStr">
        <is>
          <t>HR Compliance Specialist</t>
        </is>
      </c>
      <c r="E51" s="5" t="inlineStr">
        <is>
          <t>Compliance</t>
        </is>
      </c>
      <c r="F51" s="5" t="inlineStr">
        <is>
          <t>WARN Act review for potential RIF scenario</t>
        </is>
      </c>
      <c r="G51" s="5" t="inlineStr">
        <is>
          <t>2026-03-15</t>
        </is>
      </c>
      <c r="H51" s="5" t="n">
        <v>3</v>
      </c>
      <c r="I51" s="5" t="n">
        <v>0</v>
      </c>
      <c r="J51" s="5" t="inlineStr">
        <is>
          <t>HROP</t>
        </is>
      </c>
      <c r="K51" s="7" t="inlineStr">
        <is>
          <t>Critical</t>
        </is>
      </c>
      <c r="L51" s="4" t="inlineStr">
        <is>
          <t>Completed</t>
        </is>
      </c>
      <c r="M51" s="5" t="inlineStr">
        <is>
          <t>Confidential; legal notified</t>
        </is>
      </c>
    </row>
    <row r="52">
      <c r="A52" s="2" t="inlineStr">
        <is>
          <t>HR011</t>
        </is>
      </c>
      <c r="B52" s="2" t="inlineStr">
        <is>
          <t>Nina Torres</t>
        </is>
      </c>
      <c r="C52" s="2" t="inlineStr">
        <is>
          <t>Employee Engagement</t>
        </is>
      </c>
      <c r="D52" s="2" t="inlineStr">
        <is>
          <t>Employee Experience Manager</t>
        </is>
      </c>
      <c r="E52" s="2" t="inlineStr">
        <is>
          <t>Employee Engagement</t>
        </is>
      </c>
      <c r="F52" s="2" t="inlineStr">
        <is>
          <t>Launched Q1 employee pulse survey (320 respondents)</t>
        </is>
      </c>
      <c r="G52" s="2" t="inlineStr">
        <is>
          <t>2026-03-04</t>
        </is>
      </c>
      <c r="H52" s="2" t="n">
        <v>3</v>
      </c>
      <c r="I52" s="2" t="n">
        <v>320</v>
      </c>
      <c r="J52" s="2" t="inlineStr">
        <is>
          <t>EE</t>
        </is>
      </c>
      <c r="K52" s="3" t="inlineStr">
        <is>
          <t>High</t>
        </is>
      </c>
      <c r="L52" s="4" t="inlineStr">
        <is>
          <t>Completed</t>
        </is>
      </c>
      <c r="M52" s="2" t="inlineStr">
        <is>
          <t>68% response rate</t>
        </is>
      </c>
    </row>
    <row r="53">
      <c r="A53" s="5" t="inlineStr">
        <is>
          <t>HR011</t>
        </is>
      </c>
      <c r="B53" s="5" t="inlineStr">
        <is>
          <t>Nina Torres</t>
        </is>
      </c>
      <c r="C53" s="5" t="inlineStr">
        <is>
          <t>Employee Engagement</t>
        </is>
      </c>
      <c r="D53" s="5" t="inlineStr">
        <is>
          <t>Employee Experience Manager</t>
        </is>
      </c>
      <c r="E53" s="5" t="inlineStr">
        <is>
          <t>Employee Engagement</t>
        </is>
      </c>
      <c r="F53" s="5" t="inlineStr">
        <is>
          <t>Analyzed pulse survey results and built action plan</t>
        </is>
      </c>
      <c r="G53" s="5" t="inlineStr">
        <is>
          <t>2026-03-08</t>
        </is>
      </c>
      <c r="H53" s="5" t="n">
        <v>5</v>
      </c>
      <c r="I53" s="5" t="n">
        <v>1</v>
      </c>
      <c r="J53" s="5" t="inlineStr">
        <is>
          <t>EE</t>
        </is>
      </c>
      <c r="K53" s="3" t="inlineStr">
        <is>
          <t>High</t>
        </is>
      </c>
      <c r="L53" s="4" t="inlineStr">
        <is>
          <t>Completed</t>
        </is>
      </c>
      <c r="M53" s="5" t="inlineStr">
        <is>
          <t>Top concern: growth &amp; development</t>
        </is>
      </c>
    </row>
    <row r="54">
      <c r="A54" s="2" t="inlineStr">
        <is>
          <t>HR011</t>
        </is>
      </c>
      <c r="B54" s="2" t="inlineStr">
        <is>
          <t>Nina Torres</t>
        </is>
      </c>
      <c r="C54" s="2" t="inlineStr">
        <is>
          <t>Employee Engagement</t>
        </is>
      </c>
      <c r="D54" s="2" t="inlineStr">
        <is>
          <t>Employee Experience Manager</t>
        </is>
      </c>
      <c r="E54" s="2" t="inlineStr">
        <is>
          <t>Employee Engagement</t>
        </is>
      </c>
      <c r="F54" s="2" t="inlineStr">
        <is>
          <t>Organized employee appreciation event (lunch)</t>
        </is>
      </c>
      <c r="G54" s="2" t="inlineStr">
        <is>
          <t>2026-03-11</t>
        </is>
      </c>
      <c r="H54" s="2" t="n">
        <v>4</v>
      </c>
      <c r="I54" s="2" t="n">
        <v>120</v>
      </c>
      <c r="J54" s="2" t="inlineStr">
        <is>
          <t>EE</t>
        </is>
      </c>
      <c r="K54" s="6" t="inlineStr">
        <is>
          <t>Medium</t>
        </is>
      </c>
      <c r="L54" s="4" t="inlineStr">
        <is>
          <t>Completed</t>
        </is>
      </c>
      <c r="M54" s="2" t="inlineStr">
        <is>
          <t>Budget: $2,400</t>
        </is>
      </c>
    </row>
    <row r="55">
      <c r="A55" s="5" t="inlineStr">
        <is>
          <t>HR011</t>
        </is>
      </c>
      <c r="B55" s="5" t="inlineStr">
        <is>
          <t>Nina Torres</t>
        </is>
      </c>
      <c r="C55" s="5" t="inlineStr">
        <is>
          <t>Employee Engagement</t>
        </is>
      </c>
      <c r="D55" s="5" t="inlineStr">
        <is>
          <t>Employee Experience Manager</t>
        </is>
      </c>
      <c r="E55" s="5" t="inlineStr">
        <is>
          <t>Employee Engagement</t>
        </is>
      </c>
      <c r="F55" s="5" t="inlineStr">
        <is>
          <t>Ran DEI committee meeting</t>
        </is>
      </c>
      <c r="G55" s="5" t="inlineStr">
        <is>
          <t>2026-03-13</t>
        </is>
      </c>
      <c r="H55" s="5" t="n">
        <v>2</v>
      </c>
      <c r="I55" s="5" t="n">
        <v>12</v>
      </c>
      <c r="J55" s="5" t="inlineStr">
        <is>
          <t>EE</t>
        </is>
      </c>
      <c r="K55" s="6" t="inlineStr">
        <is>
          <t>Medium</t>
        </is>
      </c>
      <c r="L55" s="4" t="inlineStr">
        <is>
          <t>Completed</t>
        </is>
      </c>
      <c r="M55" s="5" t="inlineStr">
        <is>
          <t>3 initiatives approved for Q2</t>
        </is>
      </c>
    </row>
    <row r="56">
      <c r="A56" s="2" t="inlineStr">
        <is>
          <t>HR011</t>
        </is>
      </c>
      <c r="B56" s="2" t="inlineStr">
        <is>
          <t>Nina Torres</t>
        </is>
      </c>
      <c r="C56" s="2" t="inlineStr">
        <is>
          <t>Employee Engagement</t>
        </is>
      </c>
      <c r="D56" s="2" t="inlineStr">
        <is>
          <t>Employee Experience Manager</t>
        </is>
      </c>
      <c r="E56" s="2" t="inlineStr">
        <is>
          <t>Reporting</t>
        </is>
      </c>
      <c r="F56" s="2" t="inlineStr">
        <is>
          <t>Presented engagement scores to leadership team</t>
        </is>
      </c>
      <c r="G56" s="2" t="inlineStr">
        <is>
          <t>2026-03-15</t>
        </is>
      </c>
      <c r="H56" s="2" t="n">
        <v>1</v>
      </c>
      <c r="I56" s="2" t="n">
        <v>8</v>
      </c>
      <c r="J56" s="2" t="inlineStr">
        <is>
          <t>EE</t>
        </is>
      </c>
      <c r="K56" s="3" t="inlineStr">
        <is>
          <t>High</t>
        </is>
      </c>
      <c r="L56" s="4" t="inlineStr">
        <is>
          <t>Completed</t>
        </is>
      </c>
      <c r="M56" s="2" t="inlineStr"/>
    </row>
  </sheetData>
  <autoFilter ref="A1:M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28" customWidth="1" min="4" max="4"/>
    <col width="7" customWidth="1" min="5" max="5"/>
    <col width="13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  <col width="14" customWidth="1" min="12" max="12"/>
    <col width="12" customWidth="1" min="13" max="13"/>
    <col width="14" customWidth="1" min="14" max="14"/>
    <col width="16" customWidth="1" min="15" max="15"/>
    <col width="16" customWidth="1" min="16" max="16"/>
    <col width="13" customWidth="1" min="17" max="17"/>
    <col width="13" customWidth="1" min="18" max="18"/>
    <col width="12" customWidth="1" min="19" max="19"/>
    <col width="15" customWidth="1" min="20" max="20"/>
  </cols>
  <sheetData>
    <row r="1" ht="35" customHeight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Job_Title</t>
        </is>
      </c>
      <c r="E1" s="1" t="inlineStr">
        <is>
          <t>Level</t>
        </is>
      </c>
      <c r="F1" s="1" t="inlineStr">
        <is>
          <t>Employment_Type</t>
        </is>
      </c>
      <c r="G1" s="1" t="inlineStr">
        <is>
          <t>Annual_Base_Salary</t>
        </is>
      </c>
      <c r="H1" s="1" t="inlineStr">
        <is>
          <t>Annual_Bonus_Target_Pct</t>
        </is>
      </c>
      <c r="I1" s="1" t="inlineStr">
        <is>
          <t>Annual_Bonus_Target_Amt</t>
        </is>
      </c>
      <c r="J1" s="1" t="inlineStr">
        <is>
          <t>Annual_Equity_Grant</t>
        </is>
      </c>
      <c r="K1" s="1" t="inlineStr">
        <is>
          <t>Total_Target_Comp</t>
        </is>
      </c>
      <c r="L1" s="1" t="inlineStr">
        <is>
          <t>Health_Benefits_ER</t>
        </is>
      </c>
      <c r="M1" s="1" t="inlineStr">
        <is>
          <t>401k_Match_ER</t>
        </is>
      </c>
      <c r="N1" s="1" t="inlineStr">
        <is>
          <t>Other_Benefits_ER</t>
        </is>
      </c>
      <c r="O1" s="1" t="inlineStr">
        <is>
          <t>Total_Benefits_Cost_ER</t>
        </is>
      </c>
      <c r="P1" s="1" t="inlineStr">
        <is>
          <t>Total_Cost_to_Company</t>
        </is>
      </c>
      <c r="Q1" s="1" t="inlineStr">
        <is>
          <t>Hire_Date</t>
        </is>
      </c>
      <c r="R1" s="1" t="inlineStr">
        <is>
          <t>Pay_Frequency</t>
        </is>
      </c>
      <c r="S1" s="1" t="inlineStr">
        <is>
          <t>FLSA_Status</t>
        </is>
      </c>
      <c r="T1" s="1" t="inlineStr">
        <is>
          <t>Location</t>
        </is>
      </c>
    </row>
    <row r="2">
      <c r="A2" s="10" t="inlineStr">
        <is>
          <t>HR001</t>
        </is>
      </c>
      <c r="B2" s="10" t="inlineStr">
        <is>
          <t>Jordan Ellis</t>
        </is>
      </c>
      <c r="C2" s="10" t="inlineStr">
        <is>
          <t>Talent Acquisition</t>
        </is>
      </c>
      <c r="D2" s="10" t="inlineStr">
        <is>
          <t>Senior Recruiter</t>
        </is>
      </c>
      <c r="E2" s="10" t="inlineStr">
        <is>
          <t>L3</t>
        </is>
      </c>
      <c r="F2" s="10" t="inlineStr">
        <is>
          <t>Full-Time</t>
        </is>
      </c>
      <c r="G2" s="11" t="n">
        <v>85000</v>
      </c>
      <c r="H2" s="12" t="n">
        <v>0.1</v>
      </c>
      <c r="I2" s="11">
        <f>G2*H2</f>
        <v/>
      </c>
      <c r="J2" s="11" t="n">
        <v>0</v>
      </c>
      <c r="K2" s="11">
        <f>G2+I2+J2</f>
        <v/>
      </c>
      <c r="L2" s="11" t="n">
        <v>9600</v>
      </c>
      <c r="M2" s="11" t="n">
        <v>4250</v>
      </c>
      <c r="N2" s="11" t="n">
        <v>1200</v>
      </c>
      <c r="O2" s="11">
        <f>L2+M2+N2</f>
        <v/>
      </c>
      <c r="P2" s="11">
        <f>G2+I2+J2+O2</f>
        <v/>
      </c>
      <c r="Q2" s="10" t="inlineStr">
        <is>
          <t>2023-06-15</t>
        </is>
      </c>
      <c r="R2" s="10" t="inlineStr">
        <is>
          <t>Semi-Monthly</t>
        </is>
      </c>
      <c r="S2" s="10" t="inlineStr">
        <is>
          <t>Exempt</t>
        </is>
      </c>
      <c r="T2" s="10" t="inlineStr">
        <is>
          <t>Austin, TX</t>
        </is>
      </c>
    </row>
    <row r="3">
      <c r="A3" s="13" t="inlineStr">
        <is>
          <t>HR002</t>
        </is>
      </c>
      <c r="B3" s="13" t="inlineStr">
        <is>
          <t>Priya Nair</t>
        </is>
      </c>
      <c r="C3" s="13" t="inlineStr">
        <is>
          <t>Talent Acquisition</t>
        </is>
      </c>
      <c r="D3" s="13" t="inlineStr">
        <is>
          <t>Talent Acquisition Coordinator</t>
        </is>
      </c>
      <c r="E3" s="13" t="inlineStr">
        <is>
          <t>L2</t>
        </is>
      </c>
      <c r="F3" s="13" t="inlineStr">
        <is>
          <t>Full-Time</t>
        </is>
      </c>
      <c r="G3" s="14" t="n">
        <v>58000</v>
      </c>
      <c r="H3" s="15" t="n">
        <v>0.05</v>
      </c>
      <c r="I3" s="14">
        <f>G3*H3</f>
        <v/>
      </c>
      <c r="J3" s="14" t="n">
        <v>0</v>
      </c>
      <c r="K3" s="14">
        <f>G3+I3+J3</f>
        <v/>
      </c>
      <c r="L3" s="14" t="n">
        <v>9600</v>
      </c>
      <c r="M3" s="14" t="n">
        <v>2900</v>
      </c>
      <c r="N3" s="14" t="n">
        <v>1200</v>
      </c>
      <c r="O3" s="14">
        <f>L3+M3+N3</f>
        <v/>
      </c>
      <c r="P3" s="14">
        <f>G3+I3+J3+O3</f>
        <v/>
      </c>
      <c r="Q3" s="13" t="inlineStr">
        <is>
          <t>2024-01-08</t>
        </is>
      </c>
      <c r="R3" s="13" t="inlineStr">
        <is>
          <t>Semi-Monthly</t>
        </is>
      </c>
      <c r="S3" s="13" t="inlineStr">
        <is>
          <t>Non-Exempt</t>
        </is>
      </c>
      <c r="T3" s="13" t="inlineStr">
        <is>
          <t>Austin, TX</t>
        </is>
      </c>
    </row>
    <row r="4">
      <c r="A4" s="10" t="inlineStr">
        <is>
          <t>HR003</t>
        </is>
      </c>
      <c r="B4" s="10" t="inlineStr">
        <is>
          <t>Marcus Webb</t>
        </is>
      </c>
      <c r="C4" s="10" t="inlineStr">
        <is>
          <t>HR Business Partner</t>
        </is>
      </c>
      <c r="D4" s="10" t="inlineStr">
        <is>
          <t>Sr. HR Business Partner</t>
        </is>
      </c>
      <c r="E4" s="10" t="inlineStr">
        <is>
          <t>L4</t>
        </is>
      </c>
      <c r="F4" s="10" t="inlineStr">
        <is>
          <t>Full-Time</t>
        </is>
      </c>
      <c r="G4" s="11" t="n">
        <v>105000</v>
      </c>
      <c r="H4" s="12" t="n">
        <v>0.15</v>
      </c>
      <c r="I4" s="11">
        <f>G4*H4</f>
        <v/>
      </c>
      <c r="J4" s="11" t="n">
        <v>5000</v>
      </c>
      <c r="K4" s="11">
        <f>G4+I4+J4</f>
        <v/>
      </c>
      <c r="L4" s="11" t="n">
        <v>9600</v>
      </c>
      <c r="M4" s="11" t="n">
        <v>5250</v>
      </c>
      <c r="N4" s="11" t="n">
        <v>1500</v>
      </c>
      <c r="O4" s="11">
        <f>L4+M4+N4</f>
        <v/>
      </c>
      <c r="P4" s="11">
        <f>G4+I4+J4+O4</f>
        <v/>
      </c>
      <c r="Q4" s="10" t="inlineStr">
        <is>
          <t>2021-03-22</t>
        </is>
      </c>
      <c r="R4" s="10" t="inlineStr">
        <is>
          <t>Semi-Monthly</t>
        </is>
      </c>
      <c r="S4" s="10" t="inlineStr">
        <is>
          <t>Exempt</t>
        </is>
      </c>
      <c r="T4" s="10" t="inlineStr">
        <is>
          <t>Austin, TX</t>
        </is>
      </c>
    </row>
    <row r="5">
      <c r="A5" s="13" t="inlineStr">
        <is>
          <t>HR004</t>
        </is>
      </c>
      <c r="B5" s="13" t="inlineStr">
        <is>
          <t>Aisha Okafor</t>
        </is>
      </c>
      <c r="C5" s="13" t="inlineStr">
        <is>
          <t>HR Business Partner</t>
        </is>
      </c>
      <c r="D5" s="13" t="inlineStr">
        <is>
          <t>HR Business Partner</t>
        </is>
      </c>
      <c r="E5" s="13" t="inlineStr">
        <is>
          <t>L3</t>
        </is>
      </c>
      <c r="F5" s="13" t="inlineStr">
        <is>
          <t>Full-Time</t>
        </is>
      </c>
      <c r="G5" s="14" t="n">
        <v>88000</v>
      </c>
      <c r="H5" s="15" t="n">
        <v>0.1</v>
      </c>
      <c r="I5" s="14">
        <f>G5*H5</f>
        <v/>
      </c>
      <c r="J5" s="14" t="n">
        <v>0</v>
      </c>
      <c r="K5" s="14">
        <f>G5+I5+J5</f>
        <v/>
      </c>
      <c r="L5" s="14" t="n">
        <v>9600</v>
      </c>
      <c r="M5" s="14" t="n">
        <v>4400</v>
      </c>
      <c r="N5" s="14" t="n">
        <v>1200</v>
      </c>
      <c r="O5" s="14">
        <f>L5+M5+N5</f>
        <v/>
      </c>
      <c r="P5" s="14">
        <f>G5+I5+J5+O5</f>
        <v/>
      </c>
      <c r="Q5" s="13" t="inlineStr">
        <is>
          <t>2022-09-12</t>
        </is>
      </c>
      <c r="R5" s="13" t="inlineStr">
        <is>
          <t>Semi-Monthly</t>
        </is>
      </c>
      <c r="S5" s="13" t="inlineStr">
        <is>
          <t>Exempt</t>
        </is>
      </c>
      <c r="T5" s="13" t="inlineStr">
        <is>
          <t>Austin, TX</t>
        </is>
      </c>
    </row>
    <row r="6">
      <c r="A6" s="10" t="inlineStr">
        <is>
          <t>HR005</t>
        </is>
      </c>
      <c r="B6" s="10" t="inlineStr">
        <is>
          <t>Diana Chen</t>
        </is>
      </c>
      <c r="C6" s="10" t="inlineStr">
        <is>
          <t>Compensation &amp; Benefits</t>
        </is>
      </c>
      <c r="D6" s="10" t="inlineStr">
        <is>
          <t>Compensation Analyst</t>
        </is>
      </c>
      <c r="E6" s="10" t="inlineStr">
        <is>
          <t>L3</t>
        </is>
      </c>
      <c r="F6" s="10" t="inlineStr">
        <is>
          <t>Full-Time</t>
        </is>
      </c>
      <c r="G6" s="11" t="n">
        <v>92000</v>
      </c>
      <c r="H6" s="12" t="n">
        <v>0.1</v>
      </c>
      <c r="I6" s="11">
        <f>G6*H6</f>
        <v/>
      </c>
      <c r="J6" s="11" t="n">
        <v>0</v>
      </c>
      <c r="K6" s="11">
        <f>G6+I6+J6</f>
        <v/>
      </c>
      <c r="L6" s="11" t="n">
        <v>9600</v>
      </c>
      <c r="M6" s="11" t="n">
        <v>4600</v>
      </c>
      <c r="N6" s="11" t="n">
        <v>1200</v>
      </c>
      <c r="O6" s="11">
        <f>L6+M6+N6</f>
        <v/>
      </c>
      <c r="P6" s="11">
        <f>G6+I6+J6+O6</f>
        <v/>
      </c>
      <c r="Q6" s="10" t="inlineStr">
        <is>
          <t>2022-05-01</t>
        </is>
      </c>
      <c r="R6" s="10" t="inlineStr">
        <is>
          <t>Semi-Monthly</t>
        </is>
      </c>
      <c r="S6" s="10" t="inlineStr">
        <is>
          <t>Exempt</t>
        </is>
      </c>
      <c r="T6" s="10" t="inlineStr">
        <is>
          <t>Austin, TX</t>
        </is>
      </c>
    </row>
    <row r="7">
      <c r="A7" s="13" t="inlineStr">
        <is>
          <t>HR006</t>
        </is>
      </c>
      <c r="B7" s="13" t="inlineStr">
        <is>
          <t>Tomás Rivera</t>
        </is>
      </c>
      <c r="C7" s="13" t="inlineStr">
        <is>
          <t>Compensation &amp; Benefits</t>
        </is>
      </c>
      <c r="D7" s="13" t="inlineStr">
        <is>
          <t>Benefits Specialist</t>
        </is>
      </c>
      <c r="E7" s="13" t="inlineStr">
        <is>
          <t>L2</t>
        </is>
      </c>
      <c r="F7" s="13" t="inlineStr">
        <is>
          <t>Full-Time</t>
        </is>
      </c>
      <c r="G7" s="14" t="n">
        <v>62000</v>
      </c>
      <c r="H7" s="15" t="n">
        <v>0.05</v>
      </c>
      <c r="I7" s="14">
        <f>G7*H7</f>
        <v/>
      </c>
      <c r="J7" s="14" t="n">
        <v>0</v>
      </c>
      <c r="K7" s="14">
        <f>G7+I7+J7</f>
        <v/>
      </c>
      <c r="L7" s="14" t="n">
        <v>9600</v>
      </c>
      <c r="M7" s="14" t="n">
        <v>3100</v>
      </c>
      <c r="N7" s="14" t="n">
        <v>1200</v>
      </c>
      <c r="O7" s="14">
        <f>L7+M7+N7</f>
        <v/>
      </c>
      <c r="P7" s="14">
        <f>G7+I7+J7+O7</f>
        <v/>
      </c>
      <c r="Q7" s="13" t="inlineStr">
        <is>
          <t>2023-11-20</t>
        </is>
      </c>
      <c r="R7" s="13" t="inlineStr">
        <is>
          <t>Semi-Monthly</t>
        </is>
      </c>
      <c r="S7" s="13" t="inlineStr">
        <is>
          <t>Non-Exempt</t>
        </is>
      </c>
      <c r="T7" s="13" t="inlineStr">
        <is>
          <t>Austin, TX</t>
        </is>
      </c>
    </row>
    <row r="8">
      <c r="A8" s="10" t="inlineStr">
        <is>
          <t>HR007</t>
        </is>
      </c>
      <c r="B8" s="10" t="inlineStr">
        <is>
          <t>Keisha Daniels</t>
        </is>
      </c>
      <c r="C8" s="10" t="inlineStr">
        <is>
          <t>Payroll</t>
        </is>
      </c>
      <c r="D8" s="10" t="inlineStr">
        <is>
          <t>Payroll Manager</t>
        </is>
      </c>
      <c r="E8" s="10" t="inlineStr">
        <is>
          <t>L4</t>
        </is>
      </c>
      <c r="F8" s="10" t="inlineStr">
        <is>
          <t>Full-Time</t>
        </is>
      </c>
      <c r="G8" s="11" t="n">
        <v>98000</v>
      </c>
      <c r="H8" s="12" t="n">
        <v>0.12</v>
      </c>
      <c r="I8" s="11">
        <f>G8*H8</f>
        <v/>
      </c>
      <c r="J8" s="11" t="n">
        <v>0</v>
      </c>
      <c r="K8" s="11">
        <f>G8+I8+J8</f>
        <v/>
      </c>
      <c r="L8" s="11" t="n">
        <v>9600</v>
      </c>
      <c r="M8" s="11" t="n">
        <v>4900</v>
      </c>
      <c r="N8" s="11" t="n">
        <v>1500</v>
      </c>
      <c r="O8" s="11">
        <f>L8+M8+N8</f>
        <v/>
      </c>
      <c r="P8" s="11">
        <f>G8+I8+J8+O8</f>
        <v/>
      </c>
      <c r="Q8" s="10" t="inlineStr">
        <is>
          <t>2020-07-06</t>
        </is>
      </c>
      <c r="R8" s="10" t="inlineStr">
        <is>
          <t>Semi-Monthly</t>
        </is>
      </c>
      <c r="S8" s="10" t="inlineStr">
        <is>
          <t>Exempt</t>
        </is>
      </c>
      <c r="T8" s="10" t="inlineStr">
        <is>
          <t>Austin, TX</t>
        </is>
      </c>
    </row>
    <row r="9">
      <c r="A9" s="13" t="inlineStr">
        <is>
          <t>HR008</t>
        </is>
      </c>
      <c r="B9" s="13" t="inlineStr">
        <is>
          <t>Samira Patel</t>
        </is>
      </c>
      <c r="C9" s="13" t="inlineStr">
        <is>
          <t>Learning &amp; Development</t>
        </is>
      </c>
      <c r="D9" s="13" t="inlineStr">
        <is>
          <t>L&amp;D Specialist</t>
        </is>
      </c>
      <c r="E9" s="13" t="inlineStr">
        <is>
          <t>L3</t>
        </is>
      </c>
      <c r="F9" s="13" t="inlineStr">
        <is>
          <t>Full-Time</t>
        </is>
      </c>
      <c r="G9" s="14" t="n">
        <v>78000</v>
      </c>
      <c r="H9" s="15" t="n">
        <v>0.08</v>
      </c>
      <c r="I9" s="14">
        <f>G9*H9</f>
        <v/>
      </c>
      <c r="J9" s="14" t="n">
        <v>0</v>
      </c>
      <c r="K9" s="14">
        <f>G9+I9+J9</f>
        <v/>
      </c>
      <c r="L9" s="14" t="n">
        <v>9600</v>
      </c>
      <c r="M9" s="14" t="n">
        <v>3900</v>
      </c>
      <c r="N9" s="14" t="n">
        <v>1200</v>
      </c>
      <c r="O9" s="14">
        <f>L9+M9+N9</f>
        <v/>
      </c>
      <c r="P9" s="14">
        <f>G9+I9+J9+O9</f>
        <v/>
      </c>
      <c r="Q9" s="13" t="inlineStr">
        <is>
          <t>2023-02-14</t>
        </is>
      </c>
      <c r="R9" s="13" t="inlineStr">
        <is>
          <t>Semi-Monthly</t>
        </is>
      </c>
      <c r="S9" s="13" t="inlineStr">
        <is>
          <t>Exempt</t>
        </is>
      </c>
      <c r="T9" s="13" t="inlineStr">
        <is>
          <t>Austin, TX</t>
        </is>
      </c>
    </row>
    <row r="10">
      <c r="A10" s="10" t="inlineStr">
        <is>
          <t>HR009</t>
        </is>
      </c>
      <c r="B10" s="10" t="inlineStr">
        <is>
          <t>Ben Carter</t>
        </is>
      </c>
      <c r="C10" s="10" t="inlineStr">
        <is>
          <t>HR Operations</t>
        </is>
      </c>
      <c r="D10" s="10" t="inlineStr">
        <is>
          <t>HR Operations Manager</t>
        </is>
      </c>
      <c r="E10" s="10" t="inlineStr">
        <is>
          <t>L4</t>
        </is>
      </c>
      <c r="F10" s="10" t="inlineStr">
        <is>
          <t>Full-Time</t>
        </is>
      </c>
      <c r="G10" s="11" t="n">
        <v>102000</v>
      </c>
      <c r="H10" s="12" t="n">
        <v>0.12</v>
      </c>
      <c r="I10" s="11">
        <f>G10*H10</f>
        <v/>
      </c>
      <c r="J10" s="11" t="n">
        <v>5000</v>
      </c>
      <c r="K10" s="11">
        <f>G10+I10+J10</f>
        <v/>
      </c>
      <c r="L10" s="11" t="n">
        <v>9600</v>
      </c>
      <c r="M10" s="11" t="n">
        <v>5100</v>
      </c>
      <c r="N10" s="11" t="n">
        <v>1500</v>
      </c>
      <c r="O10" s="11">
        <f>L10+M10+N10</f>
        <v/>
      </c>
      <c r="P10" s="11">
        <f>G10+I10+J10+O10</f>
        <v/>
      </c>
      <c r="Q10" s="10" t="inlineStr">
        <is>
          <t>2019-10-01</t>
        </is>
      </c>
      <c r="R10" s="10" t="inlineStr">
        <is>
          <t>Semi-Monthly</t>
        </is>
      </c>
      <c r="S10" s="10" t="inlineStr">
        <is>
          <t>Exempt</t>
        </is>
      </c>
      <c r="T10" s="10" t="inlineStr">
        <is>
          <t>Austin, TX</t>
        </is>
      </c>
    </row>
    <row r="11">
      <c r="A11" s="13" t="inlineStr">
        <is>
          <t>HR010</t>
        </is>
      </c>
      <c r="B11" s="13" t="inlineStr">
        <is>
          <t>Fatima Hassan</t>
        </is>
      </c>
      <c r="C11" s="13" t="inlineStr">
        <is>
          <t>HR Operations</t>
        </is>
      </c>
      <c r="D11" s="13" t="inlineStr">
        <is>
          <t>HR Compliance Specialist</t>
        </is>
      </c>
      <c r="E11" s="13" t="inlineStr">
        <is>
          <t>L3</t>
        </is>
      </c>
      <c r="F11" s="13" t="inlineStr">
        <is>
          <t>Full-Time</t>
        </is>
      </c>
      <c r="G11" s="14" t="n">
        <v>82000</v>
      </c>
      <c r="H11" s="15" t="n">
        <v>0.08</v>
      </c>
      <c r="I11" s="14">
        <f>G11*H11</f>
        <v/>
      </c>
      <c r="J11" s="14" t="n">
        <v>0</v>
      </c>
      <c r="K11" s="14">
        <f>G11+I11+J11</f>
        <v/>
      </c>
      <c r="L11" s="14" t="n">
        <v>9600</v>
      </c>
      <c r="M11" s="14" t="n">
        <v>4100</v>
      </c>
      <c r="N11" s="14" t="n">
        <v>1200</v>
      </c>
      <c r="O11" s="14">
        <f>L11+M11+N11</f>
        <v/>
      </c>
      <c r="P11" s="14">
        <f>G11+I11+J11+O11</f>
        <v/>
      </c>
      <c r="Q11" s="13" t="inlineStr">
        <is>
          <t>2022-04-18</t>
        </is>
      </c>
      <c r="R11" s="13" t="inlineStr">
        <is>
          <t>Semi-Monthly</t>
        </is>
      </c>
      <c r="S11" s="13" t="inlineStr">
        <is>
          <t>Exempt</t>
        </is>
      </c>
      <c r="T11" s="13" t="inlineStr">
        <is>
          <t>Austin, TX</t>
        </is>
      </c>
    </row>
    <row r="12">
      <c r="A12" s="10" t="inlineStr">
        <is>
          <t>HR011</t>
        </is>
      </c>
      <c r="B12" s="10" t="inlineStr">
        <is>
          <t>Nina Torres</t>
        </is>
      </c>
      <c r="C12" s="10" t="inlineStr">
        <is>
          <t>Employee Engagement</t>
        </is>
      </c>
      <c r="D12" s="10" t="inlineStr">
        <is>
          <t>Employee Experience Manager</t>
        </is>
      </c>
      <c r="E12" s="10" t="inlineStr">
        <is>
          <t>L4</t>
        </is>
      </c>
      <c r="F12" s="10" t="inlineStr">
        <is>
          <t>Full-Time</t>
        </is>
      </c>
      <c r="G12" s="11" t="n">
        <v>95000</v>
      </c>
      <c r="H12" s="12" t="n">
        <v>0.12</v>
      </c>
      <c r="I12" s="11">
        <f>G12*H12</f>
        <v/>
      </c>
      <c r="J12" s="11" t="n">
        <v>0</v>
      </c>
      <c r="K12" s="11">
        <f>G12+I12+J12</f>
        <v/>
      </c>
      <c r="L12" s="11" t="n">
        <v>9600</v>
      </c>
      <c r="M12" s="11" t="n">
        <v>4750</v>
      </c>
      <c r="N12" s="11" t="n">
        <v>1500</v>
      </c>
      <c r="O12" s="11">
        <f>L12+M12+N12</f>
        <v/>
      </c>
      <c r="P12" s="11">
        <f>G12+I12+J12+O12</f>
        <v/>
      </c>
      <c r="Q12" s="10" t="inlineStr">
        <is>
          <t>2021-08-30</t>
        </is>
      </c>
      <c r="R12" s="10" t="inlineStr">
        <is>
          <t>Semi-Monthly</t>
        </is>
      </c>
      <c r="S12" s="10" t="inlineStr">
        <is>
          <t>Exempt</t>
        </is>
      </c>
      <c r="T12" s="10" t="inlineStr">
        <is>
          <t>Austin, TX</t>
        </is>
      </c>
    </row>
    <row r="13">
      <c r="A13" s="16" t="inlineStr">
        <is>
          <t>TOTAL</t>
        </is>
      </c>
      <c r="G13" s="17">
        <f>SUM(G2:G12)</f>
        <v/>
      </c>
      <c r="I13" s="17">
        <f>SUM(I2:I12)</f>
        <v/>
      </c>
      <c r="J13" s="17">
        <f>SUM(J2:J12)</f>
        <v/>
      </c>
      <c r="K13" s="17">
        <f>SUM(K2:K12)</f>
        <v/>
      </c>
      <c r="L13" s="17">
        <f>SUM(L2:L12)</f>
        <v/>
      </c>
      <c r="M13" s="17">
        <f>SUM(M2:M12)</f>
        <v/>
      </c>
      <c r="N13" s="17">
        <f>SUM(N2:N12)</f>
        <v/>
      </c>
      <c r="O13" s="17">
        <f>SUM(O2:O12)</f>
        <v/>
      </c>
      <c r="P13" s="17">
        <f>SUM(P2:P12)</f>
        <v/>
      </c>
    </row>
  </sheetData>
  <autoFilter ref="A1:T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8" customWidth="1" min="3" max="3"/>
    <col width="18" customWidth="1" min="4" max="4"/>
    <col width="16" customWidth="1" min="5" max="5"/>
    <col width="14" customWidth="1" min="6" max="6"/>
    <col width="20" customWidth="1" min="7" max="7"/>
  </cols>
  <sheetData>
    <row r="1">
      <c r="A1" s="18" t="inlineStr">
        <is>
          <t>ImpactIQ — HR Activity &amp; Compensation Summary</t>
        </is>
      </c>
    </row>
    <row r="2">
      <c r="A2" s="19" t="inlineStr">
        <is>
          <t>Sample Data | March 2026 | 11 HR Employees</t>
        </is>
      </c>
    </row>
    <row r="4">
      <c r="A4" s="20" t="inlineStr">
        <is>
          <t>Department</t>
        </is>
      </c>
      <c r="B4" s="20" t="inlineStr">
        <is>
          <t>Headcount</t>
        </is>
      </c>
      <c r="C4" s="20" t="inlineStr">
        <is>
          <t>Total Base Payroll</t>
        </is>
      </c>
      <c r="D4" s="20" t="inlineStr">
        <is>
          <t>Avg Base Salary</t>
        </is>
      </c>
      <c r="E4" s="20" t="inlineStr">
        <is>
          <t>Total Activities</t>
        </is>
      </c>
      <c r="F4" s="20" t="inlineStr">
        <is>
          <t>Total Hours</t>
        </is>
      </c>
      <c r="G4" s="20" t="inlineStr">
        <is>
          <t>Employees Impacted</t>
        </is>
      </c>
    </row>
    <row r="5">
      <c r="A5" s="21" t="inlineStr">
        <is>
          <t>Talent Acquisition</t>
        </is>
      </c>
      <c r="B5" s="21" t="n">
        <v>2</v>
      </c>
      <c r="C5" s="22">
        <f>SUMIF('Employee Compensation'!C:C,A6,'Employee Compensation'!G:G)</f>
        <v/>
      </c>
      <c r="D5" s="22">
        <f>C6/B6</f>
        <v/>
      </c>
      <c r="E5" s="21" t="n">
        <v>10</v>
      </c>
      <c r="F5" s="21" t="n">
        <v>17</v>
      </c>
      <c r="G5" s="21" t="n">
        <v>15</v>
      </c>
    </row>
    <row r="6">
      <c r="A6" s="23" t="inlineStr">
        <is>
          <t>HR Business Partner</t>
        </is>
      </c>
      <c r="B6" s="23" t="n">
        <v>2</v>
      </c>
      <c r="C6" s="24">
        <f>SUMIF('Employee Compensation'!C:C,A7,'Employee Compensation'!G:G)</f>
        <v/>
      </c>
      <c r="D6" s="24">
        <f>C7/B7</f>
        <v/>
      </c>
      <c r="E6" s="23" t="n">
        <v>10</v>
      </c>
      <c r="F6" s="23" t="n">
        <v>29</v>
      </c>
      <c r="G6" s="23" t="n">
        <v>374</v>
      </c>
    </row>
    <row r="7">
      <c r="A7" s="21" t="inlineStr">
        <is>
          <t>Compensation &amp; Benefits</t>
        </is>
      </c>
      <c r="B7" s="21" t="n">
        <v>2</v>
      </c>
      <c r="C7" s="22">
        <f>SUMIF('Employee Compensation'!C:C,A8,'Employee Compensation'!G:G)</f>
        <v/>
      </c>
      <c r="D7" s="22">
        <f>C8/B8</f>
        <v/>
      </c>
      <c r="E7" s="21" t="n">
        <v>10</v>
      </c>
      <c r="F7" s="21" t="n">
        <v>28</v>
      </c>
      <c r="G7" s="21" t="n">
        <v>985</v>
      </c>
    </row>
    <row r="8">
      <c r="A8" s="23" t="inlineStr">
        <is>
          <t>Payroll</t>
        </is>
      </c>
      <c r="B8" s="23" t="n">
        <v>1</v>
      </c>
      <c r="C8" s="24">
        <f>SUMIF('Employee Compensation'!C:C,A9,'Employee Compensation'!G:G)</f>
        <v/>
      </c>
      <c r="D8" s="24">
        <f>C9/B9</f>
        <v/>
      </c>
      <c r="E8" s="23" t="n">
        <v>5</v>
      </c>
      <c r="F8" s="23" t="n">
        <v>16</v>
      </c>
      <c r="G8" s="23" t="n">
        <v>647</v>
      </c>
    </row>
    <row r="9">
      <c r="A9" s="21" t="inlineStr">
        <is>
          <t>Learning &amp; Development</t>
        </is>
      </c>
      <c r="B9" s="21" t="n">
        <v>1</v>
      </c>
      <c r="C9" s="22">
        <f>SUMIF('Employee Compensation'!C:C,A10,'Employee Compensation'!G:G)</f>
        <v/>
      </c>
      <c r="D9" s="22">
        <f>C10/B10</f>
        <v/>
      </c>
      <c r="E9" s="21" t="n">
        <v>5</v>
      </c>
      <c r="F9" s="21" t="n">
        <v>19</v>
      </c>
      <c r="G9" s="21" t="n">
        <v>379</v>
      </c>
    </row>
    <row r="10">
      <c r="A10" s="23" t="inlineStr">
        <is>
          <t>HR Operations</t>
        </is>
      </c>
      <c r="B10" s="23" t="n">
        <v>2</v>
      </c>
      <c r="C10" s="24">
        <f>SUMIF('Employee Compensation'!C:C,A11,'Employee Compensation'!G:G)</f>
        <v/>
      </c>
      <c r="D10" s="24">
        <f>C11/B11</f>
        <v/>
      </c>
      <c r="E10" s="23" t="n">
        <v>10</v>
      </c>
      <c r="F10" s="23" t="n">
        <v>36</v>
      </c>
      <c r="G10" s="23" t="n">
        <v>1501</v>
      </c>
    </row>
    <row r="11">
      <c r="A11" s="21" t="inlineStr">
        <is>
          <t>Employee Engagement</t>
        </is>
      </c>
      <c r="B11" s="21" t="n">
        <v>1</v>
      </c>
      <c r="C11" s="22">
        <f>SUMIF('Employee Compensation'!C:C,A12,'Employee Compensation'!G:G)</f>
        <v/>
      </c>
      <c r="D11" s="22">
        <f>C12/B12</f>
        <v/>
      </c>
      <c r="E11" s="21" t="n">
        <v>5</v>
      </c>
      <c r="F11" s="21" t="n">
        <v>15</v>
      </c>
      <c r="G11" s="21" t="n">
        <v>461</v>
      </c>
    </row>
    <row r="12"/>
    <row r="14">
      <c r="A14" s="25" t="inlineStr">
        <is>
          <t>KEY METRICS</t>
        </is>
      </c>
    </row>
    <row r="15">
      <c r="A15" s="26" t="inlineStr">
        <is>
          <t>Total HR Headcount</t>
        </is>
      </c>
      <c r="B15" s="16">
        <f>COUNTA('Employee Compensation'!A2:A12)</f>
        <v/>
      </c>
    </row>
    <row r="16">
      <c r="A16" s="26" t="inlineStr">
        <is>
          <t>Total Annual HR Payroll</t>
        </is>
      </c>
      <c r="B16" s="27">
        <f>SUM('Employee Compensation'!G2:G12)</f>
        <v/>
      </c>
    </row>
    <row r="17">
      <c r="A17" s="26" t="inlineStr">
        <is>
          <t>Avg HR Base Salary</t>
        </is>
      </c>
      <c r="B17" s="27">
        <f>AVERAGE('Employee Compensation'!G2:G12)</f>
        <v/>
      </c>
    </row>
    <row r="18">
      <c r="A18" s="26" t="inlineStr">
        <is>
          <t>Total Target Comp (all in)</t>
        </is>
      </c>
      <c r="B18" s="27">
        <f>SUM('Employee Compensation'!P2:P12)</f>
        <v/>
      </c>
    </row>
    <row r="19">
      <c r="A19" s="26" t="inlineStr">
        <is>
          <t>Total Activities Logged</t>
        </is>
      </c>
      <c r="B19" s="16" t="n">
        <v>55</v>
      </c>
    </row>
    <row r="20">
      <c r="A20" s="26" t="inlineStr">
        <is>
          <t>Total Hours Logged</t>
        </is>
      </c>
      <c r="B20" s="16">
        <f>SUMIF('HR Activity Log'!K:K,"Completed",'HR Activity Log'!H:H)</f>
        <v/>
      </c>
    </row>
    <row r="21">
      <c r="A21" s="26" t="inlineStr">
        <is>
          <t>Distinct Activity Types</t>
        </is>
      </c>
      <c r="B21" s="16" t="n">
        <v>11</v>
      </c>
    </row>
    <row r="22">
      <c r="A22" s="26" t="inlineStr">
        <is>
          <t>Activities Completed</t>
        </is>
      </c>
      <c r="B22" s="27">
        <f>COUNTIF('HR Activity Log'!L:L,"Completed")</f>
        <v/>
      </c>
    </row>
    <row r="23">
      <c r="A23" s="26" t="inlineStr">
        <is>
          <t>Activities In Progress</t>
        </is>
      </c>
      <c r="B23" s="16">
        <f>COUNTIF('HR Activity Log'!L:L,"In Progress")</f>
        <v/>
      </c>
    </row>
    <row r="24">
      <c r="A24" s="26" t="inlineStr">
        <is>
          <t>Total Employees Impacted</t>
        </is>
      </c>
      <c r="B24" s="16">
        <f>SUM('HR Activity Log'!I:I)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2026-04-21T16:39:16Z</dcterms:created>
  <dcterms:modified xmlns:dcterms="http://purl.org/dc/terms/" xmlns:xsi="http://www.w3.org/2001/XMLSchema-instance" xsi:type="dcterms:W3CDTF">2026-04-21T16:39:16Z</dcterms:modified>
</cp:coreProperties>
</file>